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2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abiitokazu/Dropbox/Fall_2020/BSEN 6250/"/>
    </mc:Choice>
  </mc:AlternateContent>
  <xr:revisionPtr revIDLastSave="0" documentId="8_{CF312928-43FB-9F43-94A4-771040397BE9}" xr6:coauthVersionLast="45" xr6:coauthVersionMax="45" xr10:uidLastSave="{00000000-0000-0000-0000-000000000000}"/>
  <bookViews>
    <workbookView xWindow="13400" yWindow="460" windowWidth="24380" windowHeight="2016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Computed">Sheet1!$E$14:$E$54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" l="1"/>
  <c r="C14" i="1"/>
  <c r="D14" i="1" s="1"/>
  <c r="A15" i="1"/>
  <c r="C15" i="1" s="1"/>
  <c r="B15" i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D15" i="1" l="1"/>
  <c r="A16" i="1"/>
  <c r="A17" i="1" l="1"/>
  <c r="C16" i="1"/>
  <c r="D16" i="1" s="1"/>
  <c r="C17" i="1" l="1"/>
  <c r="D17" i="1" s="1"/>
  <c r="A18" i="1"/>
  <c r="A19" i="1" l="1"/>
  <c r="C18" i="1"/>
  <c r="D18" i="1" s="1"/>
  <c r="C19" i="1" l="1"/>
  <c r="D19" i="1" s="1"/>
  <c r="A20" i="1"/>
  <c r="C20" i="1" l="1"/>
  <c r="D20" i="1" s="1"/>
  <c r="A21" i="1"/>
  <c r="C21" i="1" l="1"/>
  <c r="D21" i="1" s="1"/>
  <c r="A22" i="1"/>
  <c r="C22" i="1" l="1"/>
  <c r="D22" i="1" s="1"/>
  <c r="A23" i="1"/>
  <c r="C23" i="1" l="1"/>
  <c r="D23" i="1" s="1"/>
  <c r="A24" i="1"/>
  <c r="C24" i="1" l="1"/>
  <c r="D24" i="1" s="1"/>
  <c r="A25" i="1"/>
  <c r="C25" i="1" l="1"/>
  <c r="D25" i="1" s="1"/>
  <c r="A26" i="1"/>
  <c r="C26" i="1" l="1"/>
  <c r="D26" i="1" s="1"/>
  <c r="A27" i="1"/>
  <c r="C27" i="1" l="1"/>
  <c r="D27" i="1" s="1"/>
  <c r="A28" i="1"/>
  <c r="C28" i="1" l="1"/>
  <c r="D28" i="1" s="1"/>
  <c r="A29" i="1"/>
  <c r="A30" i="1" l="1"/>
  <c r="C29" i="1"/>
  <c r="D29" i="1" s="1"/>
  <c r="C30" i="1" l="1"/>
  <c r="D30" i="1" s="1"/>
  <c r="A31" i="1"/>
  <c r="C31" i="1" l="1"/>
  <c r="D31" i="1" s="1"/>
  <c r="A32" i="1"/>
  <c r="C32" i="1" l="1"/>
  <c r="D32" i="1" s="1"/>
  <c r="A33" i="1"/>
  <c r="A34" i="1" s="1"/>
  <c r="A35" i="1" l="1"/>
  <c r="C34" i="1"/>
  <c r="D34" i="1" s="1"/>
  <c r="C33" i="1"/>
  <c r="D33" i="1" s="1"/>
  <c r="A36" i="1" l="1"/>
  <c r="C35" i="1"/>
  <c r="D35" i="1" s="1"/>
  <c r="C36" i="1" l="1"/>
  <c r="D36" i="1" s="1"/>
  <c r="A37" i="1"/>
  <c r="A38" i="1" l="1"/>
  <c r="C37" i="1"/>
  <c r="D37" i="1" s="1"/>
  <c r="C38" i="1" l="1"/>
  <c r="D38" i="1" s="1"/>
  <c r="A39" i="1"/>
  <c r="A40" i="1" l="1"/>
  <c r="C39" i="1"/>
  <c r="D39" i="1" s="1"/>
  <c r="C40" i="1" l="1"/>
  <c r="D40" i="1" s="1"/>
  <c r="A41" i="1"/>
  <c r="A42" i="1" l="1"/>
  <c r="C41" i="1"/>
  <c r="D41" i="1" s="1"/>
  <c r="A43" i="1" l="1"/>
  <c r="C42" i="1"/>
  <c r="D42" i="1" s="1"/>
  <c r="A44" i="1" l="1"/>
  <c r="C43" i="1"/>
  <c r="D43" i="1" s="1"/>
  <c r="C44" i="1" l="1"/>
  <c r="D44" i="1" s="1"/>
  <c r="A45" i="1"/>
  <c r="A46" i="1" l="1"/>
  <c r="C45" i="1"/>
  <c r="D45" i="1" s="1"/>
  <c r="C46" i="1" l="1"/>
  <c r="D46" i="1" s="1"/>
  <c r="A47" i="1"/>
  <c r="A48" i="1" l="1"/>
  <c r="C47" i="1"/>
  <c r="D47" i="1" s="1"/>
  <c r="C48" i="1" l="1"/>
  <c r="D48" i="1" s="1"/>
  <c r="A49" i="1"/>
  <c r="A50" i="1" l="1"/>
  <c r="C49" i="1"/>
  <c r="D49" i="1" s="1"/>
  <c r="C50" i="1" l="1"/>
  <c r="D50" i="1" s="1"/>
  <c r="A51" i="1"/>
  <c r="C51" i="1" l="1"/>
  <c r="D51" i="1" s="1"/>
  <c r="A52" i="1"/>
  <c r="C52" i="1" l="1"/>
  <c r="D52" i="1" s="1"/>
  <c r="A53" i="1"/>
  <c r="A54" i="1" l="1"/>
  <c r="C53" i="1"/>
  <c r="D53" i="1" s="1"/>
  <c r="C54" i="1" l="1"/>
  <c r="D54" i="1" s="1"/>
  <c r="A55" i="1"/>
  <c r="A56" i="1" l="1"/>
  <c r="C55" i="1"/>
  <c r="D55" i="1" s="1"/>
  <c r="C56" i="1" l="1"/>
  <c r="D56" i="1" s="1"/>
  <c r="A57" i="1"/>
  <c r="C57" i="1" l="1"/>
  <c r="D57" i="1" s="1"/>
  <c r="A58" i="1"/>
  <c r="C58" i="1" l="1"/>
  <c r="D58" i="1" s="1"/>
  <c r="A59" i="1"/>
  <c r="A60" i="1" l="1"/>
  <c r="C59" i="1"/>
  <c r="D59" i="1" s="1"/>
  <c r="C60" i="1" l="1"/>
  <c r="D60" i="1" s="1"/>
  <c r="A61" i="1"/>
  <c r="A62" i="1" l="1"/>
  <c r="C61" i="1"/>
  <c r="D61" i="1" s="1"/>
  <c r="C62" i="1" l="1"/>
  <c r="D62" i="1" s="1"/>
  <c r="A63" i="1"/>
  <c r="A64" i="1" l="1"/>
  <c r="C63" i="1"/>
  <c r="D63" i="1" s="1"/>
  <c r="A65" i="1" l="1"/>
  <c r="C64" i="1"/>
  <c r="D64" i="1" s="1"/>
  <c r="A66" i="1" l="1"/>
  <c r="C65" i="1"/>
  <c r="D65" i="1" s="1"/>
  <c r="C66" i="1" l="1"/>
  <c r="D66" i="1" s="1"/>
  <c r="A67" i="1"/>
  <c r="A68" i="1" l="1"/>
  <c r="C67" i="1"/>
  <c r="D67" i="1" s="1"/>
  <c r="C68" i="1" l="1"/>
  <c r="D68" i="1" s="1"/>
  <c r="A69" i="1"/>
  <c r="A70" i="1" l="1"/>
  <c r="C69" i="1"/>
  <c r="D69" i="1" s="1"/>
  <c r="A71" i="1" l="1"/>
  <c r="C70" i="1"/>
  <c r="D70" i="1" s="1"/>
  <c r="A72" i="1" l="1"/>
  <c r="C71" i="1"/>
  <c r="D71" i="1" s="1"/>
  <c r="C72" i="1" l="1"/>
  <c r="D72" i="1" s="1"/>
  <c r="A73" i="1"/>
  <c r="A74" i="1" l="1"/>
  <c r="C73" i="1"/>
  <c r="D73" i="1" s="1"/>
  <c r="C74" i="1" l="1"/>
  <c r="D74" i="1" s="1"/>
  <c r="A75" i="1"/>
  <c r="C75" i="1" l="1"/>
  <c r="D75" i="1" s="1"/>
  <c r="A76" i="1"/>
  <c r="C76" i="1" l="1"/>
  <c r="D76" i="1" s="1"/>
  <c r="A77" i="1"/>
  <c r="A78" i="1" l="1"/>
  <c r="C77" i="1"/>
  <c r="D77" i="1" s="1"/>
  <c r="A79" i="1" l="1"/>
  <c r="C78" i="1"/>
  <c r="D78" i="1" s="1"/>
  <c r="A80" i="1" l="1"/>
  <c r="C79" i="1"/>
  <c r="D79" i="1" s="1"/>
  <c r="A81" i="1" l="1"/>
  <c r="C80" i="1"/>
  <c r="D80" i="1" s="1"/>
  <c r="C81" i="1" l="1"/>
  <c r="D81" i="1" s="1"/>
  <c r="A82" i="1"/>
  <c r="C82" i="1" l="1"/>
  <c r="D82" i="1" s="1"/>
  <c r="A83" i="1"/>
  <c r="A84" i="1" l="1"/>
  <c r="C83" i="1"/>
  <c r="D83" i="1" s="1"/>
  <c r="C84" i="1" l="1"/>
  <c r="D84" i="1" s="1"/>
  <c r="A85" i="1"/>
  <c r="A86" i="1" l="1"/>
  <c r="C85" i="1"/>
  <c r="D85" i="1" s="1"/>
  <c r="C86" i="1" l="1"/>
  <c r="D86" i="1" s="1"/>
  <c r="A87" i="1"/>
  <c r="A88" i="1" l="1"/>
  <c r="C87" i="1"/>
  <c r="D87" i="1" s="1"/>
  <c r="C88" i="1" l="1"/>
  <c r="D88" i="1" s="1"/>
  <c r="A89" i="1"/>
  <c r="C89" i="1" s="1"/>
  <c r="D89" i="1" s="1"/>
</calcChain>
</file>

<file path=xl/sharedStrings.xml><?xml version="1.0" encoding="utf-8"?>
<sst xmlns="http://schemas.openxmlformats.org/spreadsheetml/2006/main" count="20" uniqueCount="19">
  <si>
    <t>k</t>
  </si>
  <si>
    <t>1/minute</t>
  </si>
  <si>
    <t>C inside</t>
  </si>
  <si>
    <t>C outside</t>
  </si>
  <si>
    <t>mole/liter</t>
  </si>
  <si>
    <t>Timestep</t>
  </si>
  <si>
    <t>minute</t>
  </si>
  <si>
    <t>Final Time</t>
  </si>
  <si>
    <t>minutes</t>
  </si>
  <si>
    <t>Lab 1: Diffusion of a Molecule into a cell</t>
  </si>
  <si>
    <t>Coefficients and Initial Conditions</t>
  </si>
  <si>
    <t>Variable</t>
  </si>
  <si>
    <t>Value</t>
  </si>
  <si>
    <t>Units</t>
  </si>
  <si>
    <t>Error, %</t>
  </si>
  <si>
    <t>Ci using Analytical Solution, mol/l</t>
  </si>
  <si>
    <t>Ci using Euler Method and VBA</t>
  </si>
  <si>
    <t>Ci using Euler method on Spreadsheet, mol/l</t>
  </si>
  <si>
    <t>Time,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</si>
</sst>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Diffusion of a molecule in a cell</a:t>
            </a:r>
          </a:p>
        </c:rich>
      </c:tx>
      <c:layout>
        <c:manualLayout>
          <c:xMode val="edge"/>
          <c:yMode val="edge"/>
          <c:x val="0.25661914460285135"/>
          <c:y val="2.9644268774703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718940936863545"/>
          <c:y val="0.14624505928853754"/>
          <c:w val="0.74745417515274948"/>
          <c:h val="0.50790513833992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Sheet1!$B$13</c:f>
              <c:strCache>
                <c:ptCount val="1"/>
                <c:pt idx="0">
                  <c:v>Ci using Euler method on Spreadsheet, mol/l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Sheet1!$A$14:$A$89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Sheet1!$B$14:$B$89</c:f>
              <c:numCache>
                <c:formatCode>0.00</c:formatCode>
                <c:ptCount val="76"/>
                <c:pt idx="0">
                  <c:v>20</c:v>
                </c:pt>
                <c:pt idx="1">
                  <c:v>46</c:v>
                </c:pt>
                <c:pt idx="2">
                  <c:v>66.8</c:v>
                </c:pt>
                <c:pt idx="3">
                  <c:v>83.44</c:v>
                </c:pt>
                <c:pt idx="4">
                  <c:v>96.751999999999995</c:v>
                </c:pt>
                <c:pt idx="5">
                  <c:v>107.4016</c:v>
                </c:pt>
                <c:pt idx="6">
                  <c:v>115.92128</c:v>
                </c:pt>
                <c:pt idx="7">
                  <c:v>122.73702399999999</c:v>
                </c:pt>
                <c:pt idx="8">
                  <c:v>128.18961919999998</c:v>
                </c:pt>
                <c:pt idx="9">
                  <c:v>132.55169536</c:v>
                </c:pt>
                <c:pt idx="10">
                  <c:v>136.041356288</c:v>
                </c:pt>
                <c:pt idx="11">
                  <c:v>138.83308503040001</c:v>
                </c:pt>
                <c:pt idx="12">
                  <c:v>141.06646802432002</c:v>
                </c:pt>
                <c:pt idx="13">
                  <c:v>142.85317441945602</c:v>
                </c:pt>
                <c:pt idx="14">
                  <c:v>144.28253953556481</c:v>
                </c:pt>
                <c:pt idx="15">
                  <c:v>145.42603162845185</c:v>
                </c:pt>
                <c:pt idx="16">
                  <c:v>146.34082530276149</c:v>
                </c:pt>
                <c:pt idx="17">
                  <c:v>147.0726602422092</c:v>
                </c:pt>
                <c:pt idx="18">
                  <c:v>147.65812819376737</c:v>
                </c:pt>
                <c:pt idx="19">
                  <c:v>148.1265025550139</c:v>
                </c:pt>
                <c:pt idx="20">
                  <c:v>148.50120204401111</c:v>
                </c:pt>
                <c:pt idx="21">
                  <c:v>148.80096163520889</c:v>
                </c:pt>
                <c:pt idx="22">
                  <c:v>149.04076930816711</c:v>
                </c:pt>
                <c:pt idx="23">
                  <c:v>149.23261544653369</c:v>
                </c:pt>
                <c:pt idx="24">
                  <c:v>149.38609235722694</c:v>
                </c:pt>
                <c:pt idx="25">
                  <c:v>149.50887388578155</c:v>
                </c:pt>
                <c:pt idx="26">
                  <c:v>149.60709910862525</c:v>
                </c:pt>
                <c:pt idx="27">
                  <c:v>149.68567928690021</c:v>
                </c:pt>
                <c:pt idx="28">
                  <c:v>149.74854342952017</c:v>
                </c:pt>
                <c:pt idx="29">
                  <c:v>149.79883474361614</c:v>
                </c:pt>
                <c:pt idx="30">
                  <c:v>149.83906779489291</c:v>
                </c:pt>
                <c:pt idx="31">
                  <c:v>149.87125423591434</c:v>
                </c:pt>
                <c:pt idx="32">
                  <c:v>149.89700338873146</c:v>
                </c:pt>
                <c:pt idx="33">
                  <c:v>149.91760271098516</c:v>
                </c:pt>
                <c:pt idx="34">
                  <c:v>149.93408216878814</c:v>
                </c:pt>
                <c:pt idx="35">
                  <c:v>149.9472657350305</c:v>
                </c:pt>
                <c:pt idx="36">
                  <c:v>149.95781258802441</c:v>
                </c:pt>
                <c:pt idx="37">
                  <c:v>149.96625007041953</c:v>
                </c:pt>
                <c:pt idx="38">
                  <c:v>149.97300005633562</c:v>
                </c:pt>
                <c:pt idx="39">
                  <c:v>149.9784000450685</c:v>
                </c:pt>
                <c:pt idx="40">
                  <c:v>149.98272003605479</c:v>
                </c:pt>
                <c:pt idx="41">
                  <c:v>149.98617602884383</c:v>
                </c:pt>
                <c:pt idx="42">
                  <c:v>149.98894082307507</c:v>
                </c:pt>
                <c:pt idx="43">
                  <c:v>149.99115265846007</c:v>
                </c:pt>
                <c:pt idx="44">
                  <c:v>149.99292212676806</c:v>
                </c:pt>
                <c:pt idx="45">
                  <c:v>149.99433770141445</c:v>
                </c:pt>
                <c:pt idx="46">
                  <c:v>149.99547016113155</c:v>
                </c:pt>
                <c:pt idx="47">
                  <c:v>149.99637612890524</c:v>
                </c:pt>
                <c:pt idx="48">
                  <c:v>149.99710090312419</c:v>
                </c:pt>
                <c:pt idx="49">
                  <c:v>149.99768072249935</c:v>
                </c:pt>
                <c:pt idx="50">
                  <c:v>149.99814457799948</c:v>
                </c:pt>
                <c:pt idx="51">
                  <c:v>149.9985156623996</c:v>
                </c:pt>
                <c:pt idx="52">
                  <c:v>149.99881252991969</c:v>
                </c:pt>
                <c:pt idx="53">
                  <c:v>149.99905002393575</c:v>
                </c:pt>
                <c:pt idx="54">
                  <c:v>149.9992400191486</c:v>
                </c:pt>
                <c:pt idx="55">
                  <c:v>149.99939201531888</c:v>
                </c:pt>
                <c:pt idx="56">
                  <c:v>149.9995136122551</c:v>
                </c:pt>
                <c:pt idx="57">
                  <c:v>149.99961088980407</c:v>
                </c:pt>
                <c:pt idx="58">
                  <c:v>149.99968871184325</c:v>
                </c:pt>
                <c:pt idx="59">
                  <c:v>149.9997509694746</c:v>
                </c:pt>
                <c:pt idx="60">
                  <c:v>149.99980077557967</c:v>
                </c:pt>
                <c:pt idx="61">
                  <c:v>149.99984062046374</c:v>
                </c:pt>
                <c:pt idx="62">
                  <c:v>149.99987249637098</c:v>
                </c:pt>
                <c:pt idx="63">
                  <c:v>149.99989799709678</c:v>
                </c:pt>
                <c:pt idx="64">
                  <c:v>149.99991839767742</c:v>
                </c:pt>
                <c:pt idx="65">
                  <c:v>149.99993471814193</c:v>
                </c:pt>
                <c:pt idx="66">
                  <c:v>149.99994777451354</c:v>
                </c:pt>
                <c:pt idx="67">
                  <c:v>149.99995821961085</c:v>
                </c:pt>
                <c:pt idx="68">
                  <c:v>149.99996657568869</c:v>
                </c:pt>
                <c:pt idx="69">
                  <c:v>149.99997326055095</c:v>
                </c:pt>
                <c:pt idx="70">
                  <c:v>149.99997860844076</c:v>
                </c:pt>
                <c:pt idx="71">
                  <c:v>149.9999828867526</c:v>
                </c:pt>
                <c:pt idx="72">
                  <c:v>149.99998630940209</c:v>
                </c:pt>
                <c:pt idx="73">
                  <c:v>149.99998904752167</c:v>
                </c:pt>
                <c:pt idx="74">
                  <c:v>149.99999123801734</c:v>
                </c:pt>
                <c:pt idx="75">
                  <c:v>149.99999299041389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94-594C-A536-763162C5ACD9}"/>
            </c:ext>
          </c:extLst>
        </c:ser>
        <c:ser>
          <c:idx val="1"/>
          <c:order val="1"/>
          <c:tx>
            <c:strRef>
              <c:f>Sheet1!$C$13</c:f>
              <c:strCache>
                <c:ptCount val="1"/>
                <c:pt idx="0">
                  <c:v>Ci using Analytical Solution, mol/l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Sheet1!$A$14:$A$89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Sheet1!$C$14:$C$89</c:f>
              <c:numCache>
                <c:formatCode>0.00</c:formatCode>
                <c:ptCount val="76"/>
                <c:pt idx="0">
                  <c:v>20</c:v>
                </c:pt>
                <c:pt idx="1">
                  <c:v>43.565002099862369</c:v>
                </c:pt>
                <c:pt idx="2">
                  <c:v>62.858394015366883</c:v>
                </c:pt>
                <c:pt idx="3">
                  <c:v>78.654487307776563</c:v>
                </c:pt>
                <c:pt idx="4">
                  <c:v>91.587234664761198</c:v>
                </c:pt>
                <c:pt idx="5">
                  <c:v>102.1756726477125</c:v>
                </c:pt>
                <c:pt idx="6">
                  <c:v>110.84475245141374</c:v>
                </c:pt>
                <c:pt idx="7">
                  <c:v>117.94239468759116</c:v>
                </c:pt>
                <c:pt idx="8">
                  <c:v>123.7534526606948</c:v>
                </c:pt>
                <c:pt idx="9">
                  <c:v>128.51114453119374</c:v>
                </c:pt>
                <c:pt idx="10">
                  <c:v>132.40641317924036</c:v>
                </c:pt>
                <c:pt idx="11">
                  <c:v>135.5955894128966</c:v>
                </c:pt>
                <c:pt idx="12">
                  <c:v>138.20666607237638</c:v>
                </c:pt>
                <c:pt idx="13">
                  <c:v>140.34443483213659</c:v>
                </c:pt>
                <c:pt idx="14">
                  <c:v>142.09469185872166</c:v>
                </c:pt>
                <c:pt idx="15">
                  <c:v>143.52768111217767</c:v>
                </c:pt>
                <c:pt idx="16">
                  <c:v>144.70091348281238</c:v>
                </c:pt>
                <c:pt idx="17">
                  <c:v>145.6614749051576</c:v>
                </c:pt>
                <c:pt idx="18">
                  <c:v>146.44791608185196</c:v>
                </c:pt>
                <c:pt idx="19">
                  <c:v>147.09179965869848</c:v>
                </c:pt>
                <c:pt idx="20">
                  <c:v>147.61896694446455</c:v>
                </c:pt>
                <c:pt idx="21">
                  <c:v>148.05057501333789</c:v>
                </c:pt>
                <c:pt idx="22">
                  <c:v>148.40394581260111</c:v>
                </c:pt>
                <c:pt idx="23">
                  <c:v>148.69326135319764</c:v>
                </c:pt>
                <c:pt idx="24">
                  <c:v>148.93013288362741</c:v>
                </c:pt>
                <c:pt idx="25">
                  <c:v>149.12406689011888</c:v>
                </c:pt>
                <c:pt idx="26">
                  <c:v>149.28284662530109</c:v>
                </c:pt>
                <c:pt idx="27">
                  <c:v>149.41284447746034</c:v>
                </c:pt>
                <c:pt idx="28">
                  <c:v>149.51927771685723</c:v>
                </c:pt>
                <c:pt idx="29">
                  <c:v>149.60641788310113</c:v>
                </c:pt>
                <c:pt idx="30">
                  <c:v>149.67776221703338</c:v>
                </c:pt>
                <c:pt idx="31">
                  <c:v>149.73617401728154</c:v>
                </c:pt>
                <c:pt idx="32">
                  <c:v>149.7839975544874</c:v>
                </c:pt>
                <c:pt idx="33">
                  <c:v>149.82315215511878</c:v>
                </c:pt>
                <c:pt idx="34">
                  <c:v>149.85520923078016</c:v>
                </c:pt>
                <c:pt idx="35">
                  <c:v>149.8814553444779</c:v>
                </c:pt>
                <c:pt idx="36">
                  <c:v>149.90294384491102</c:v>
                </c:pt>
                <c:pt idx="37">
                  <c:v>149.92053714105316</c:v>
                </c:pt>
                <c:pt idx="38">
                  <c:v>149.93494131365273</c:v>
                </c:pt>
                <c:pt idx="39">
                  <c:v>149.94673445273264</c:v>
                </c:pt>
                <c:pt idx="40">
                  <c:v>149.95638985837266</c:v>
                </c:pt>
                <c:pt idx="41">
                  <c:v>149.96429503590363</c:v>
                </c:pt>
                <c:pt idx="42">
                  <c:v>149.97076724785674</c:v>
                </c:pt>
                <c:pt idx="43">
                  <c:v>149.97606624682322</c:v>
                </c:pt>
                <c:pt idx="44">
                  <c:v>149.98040470023759</c:v>
                </c:pt>
                <c:pt idx="45">
                  <c:v>149.98395672546874</c:v>
                </c:pt>
                <c:pt idx="46">
                  <c:v>149.98686487776118</c:v>
                </c:pt>
                <c:pt idx="47">
                  <c:v>149.98924587147764</c:v>
                </c:pt>
                <c:pt idx="48">
                  <c:v>149.99119526425619</c:v>
                </c:pt>
                <c:pt idx="49">
                  <c:v>149.9927912920738</c:v>
                </c:pt>
                <c:pt idx="50">
                  <c:v>149.99409800913088</c:v>
                </c:pt>
                <c:pt idx="51">
                  <c:v>149.99516785857105</c:v>
                </c:pt>
                <c:pt idx="52">
                  <c:v>149.99604377720891</c:v>
                </c:pt>
                <c:pt idx="53">
                  <c:v>149.99676091873491</c:v>
                </c:pt>
                <c:pt idx="54">
                  <c:v>149.99734806455655</c:v>
                </c:pt>
                <c:pt idx="55">
                  <c:v>149.99782877889726</c:v>
                </c:pt>
                <c:pt idx="56">
                  <c:v>149.99822235451146</c:v>
                </c:pt>
                <c:pt idx="57">
                  <c:v>149.99854458697047</c:v>
                </c:pt>
                <c:pt idx="58">
                  <c:v>149.9988084085943</c:v>
                </c:pt>
                <c:pt idx="59">
                  <c:v>149.99902440747104</c:v>
                </c:pt>
                <c:pt idx="60">
                  <c:v>149.99920125239407</c:v>
                </c:pt>
                <c:pt idx="61">
                  <c:v>149.99934604077109</c:v>
                </c:pt>
                <c:pt idx="62">
                  <c:v>149.99946458346801</c:v>
                </c:pt>
                <c:pt idx="63">
                  <c:v>149.99956163801957</c:v>
                </c:pt>
                <c:pt idx="64">
                  <c:v>149.99964109956562</c:v>
                </c:pt>
                <c:pt idx="65">
                  <c:v>149.99970615717709</c:v>
                </c:pt>
                <c:pt idx="66">
                  <c:v>149.99975942184432</c:v>
                </c:pt>
                <c:pt idx="67">
                  <c:v>149.99980303126543</c:v>
                </c:pt>
                <c:pt idx="68">
                  <c:v>149.9998387356396</c:v>
                </c:pt>
                <c:pt idx="69">
                  <c:v>149.99986796790876</c:v>
                </c:pt>
                <c:pt idx="70">
                  <c:v>149.99989190126652</c:v>
                </c:pt>
                <c:pt idx="71">
                  <c:v>149.99991149624253</c:v>
                </c:pt>
                <c:pt idx="72">
                  <c:v>149.99992753925198</c:v>
                </c:pt>
                <c:pt idx="73">
                  <c:v>149.99994067415722</c:v>
                </c:pt>
                <c:pt idx="74">
                  <c:v>149.99995142810806</c:v>
                </c:pt>
                <c:pt idx="75">
                  <c:v>149.99996023269833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94-594C-A536-763162C5ACD9}"/>
            </c:ext>
          </c:extLst>
        </c:ser>
        <c:ser>
          <c:idx val="3"/>
          <c:order val="2"/>
          <c:tx>
            <c:strRef>
              <c:f>Sheet1!$E$13</c:f>
              <c:strCache>
                <c:ptCount val="1"/>
                <c:pt idx="0">
                  <c:v>Ci using Euler Method and VBA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Sheet1!$A$14:$A$89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Sheet1!$E$14:$E$89</c:f>
              <c:numCache>
                <c:formatCode>0.00</c:formatCode>
                <c:ptCount val="76"/>
                <c:pt idx="0">
                  <c:v>20</c:v>
                </c:pt>
                <c:pt idx="1">
                  <c:v>46</c:v>
                </c:pt>
                <c:pt idx="2">
                  <c:v>66.8</c:v>
                </c:pt>
                <c:pt idx="3">
                  <c:v>83.44</c:v>
                </c:pt>
                <c:pt idx="4">
                  <c:v>96.751999999999995</c:v>
                </c:pt>
                <c:pt idx="5">
                  <c:v>107.4016</c:v>
                </c:pt>
                <c:pt idx="6">
                  <c:v>115.92128</c:v>
                </c:pt>
                <c:pt idx="7">
                  <c:v>122.73702399999999</c:v>
                </c:pt>
                <c:pt idx="8">
                  <c:v>128.18961919999998</c:v>
                </c:pt>
                <c:pt idx="9">
                  <c:v>132.55169536</c:v>
                </c:pt>
                <c:pt idx="10">
                  <c:v>136.041356288</c:v>
                </c:pt>
                <c:pt idx="11">
                  <c:v>138.83308503040001</c:v>
                </c:pt>
                <c:pt idx="12">
                  <c:v>141.06646802432002</c:v>
                </c:pt>
                <c:pt idx="13">
                  <c:v>142.85317441945602</c:v>
                </c:pt>
                <c:pt idx="14">
                  <c:v>144.28253953556481</c:v>
                </c:pt>
                <c:pt idx="15">
                  <c:v>145.42603162845185</c:v>
                </c:pt>
                <c:pt idx="16">
                  <c:v>146.34082530276149</c:v>
                </c:pt>
                <c:pt idx="17">
                  <c:v>147.0726602422092</c:v>
                </c:pt>
                <c:pt idx="18">
                  <c:v>147.65812819376737</c:v>
                </c:pt>
                <c:pt idx="19">
                  <c:v>148.1265025550139</c:v>
                </c:pt>
                <c:pt idx="20">
                  <c:v>148.50120204401111</c:v>
                </c:pt>
                <c:pt idx="21">
                  <c:v>148.80096163520889</c:v>
                </c:pt>
                <c:pt idx="22">
                  <c:v>149.04076930816711</c:v>
                </c:pt>
                <c:pt idx="23">
                  <c:v>149.23261544653369</c:v>
                </c:pt>
                <c:pt idx="24">
                  <c:v>149.38609235722694</c:v>
                </c:pt>
                <c:pt idx="25">
                  <c:v>149.50887388578155</c:v>
                </c:pt>
                <c:pt idx="26">
                  <c:v>149.60709910862525</c:v>
                </c:pt>
                <c:pt idx="27">
                  <c:v>149.68567928690021</c:v>
                </c:pt>
                <c:pt idx="28">
                  <c:v>149.74854342952017</c:v>
                </c:pt>
                <c:pt idx="29">
                  <c:v>149.79883474361614</c:v>
                </c:pt>
                <c:pt idx="30">
                  <c:v>149.83906779489291</c:v>
                </c:pt>
                <c:pt idx="31">
                  <c:v>149.87125423591434</c:v>
                </c:pt>
                <c:pt idx="32">
                  <c:v>149.89700338873146</c:v>
                </c:pt>
                <c:pt idx="33">
                  <c:v>149.91760271098516</c:v>
                </c:pt>
                <c:pt idx="34">
                  <c:v>149.93408216878814</c:v>
                </c:pt>
                <c:pt idx="35">
                  <c:v>149.9472657350305</c:v>
                </c:pt>
                <c:pt idx="36">
                  <c:v>149.95781258802441</c:v>
                </c:pt>
                <c:pt idx="37">
                  <c:v>149.96625007041953</c:v>
                </c:pt>
                <c:pt idx="38">
                  <c:v>149.97300005633562</c:v>
                </c:pt>
                <c:pt idx="39">
                  <c:v>149.9784000450685</c:v>
                </c:pt>
                <c:pt idx="40">
                  <c:v>149.98272003605479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94-594C-A536-763162C5A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89184"/>
        <c:axId val="232289576"/>
      </c:scatterChart>
      <c:valAx>
        <c:axId val="23228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Time, min</a:t>
                </a:r>
              </a:p>
            </c:rich>
          </c:tx>
          <c:layout>
            <c:manualLayout>
              <c:xMode val="edge"/>
              <c:yMode val="edge"/>
              <c:x val="0.47046843177189407"/>
              <c:y val="0.725296442687747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289576"/>
        <c:crosses val="autoZero"/>
        <c:crossBetween val="midCat"/>
      </c:valAx>
      <c:valAx>
        <c:axId val="232289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Concentration, mol/l</a:t>
                </a:r>
              </a:p>
            </c:rich>
          </c:tx>
          <c:layout>
            <c:manualLayout>
              <c:xMode val="edge"/>
              <c:yMode val="edge"/>
              <c:x val="3.0549898167006109E-2"/>
              <c:y val="0.243083003952569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2891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720977596741344E-2"/>
          <c:y val="0.81422924901185767"/>
          <c:w val="0.56085978051114282"/>
          <c:h val="0.123930160903800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1</xdr:row>
      <xdr:rowOff>98425</xdr:rowOff>
    </xdr:from>
    <xdr:to>
      <xdr:col>15</xdr:col>
      <xdr:colOff>171450</xdr:colOff>
      <xdr:row>28</xdr:row>
      <xdr:rowOff>57150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12700</xdr:colOff>
          <xdr:row>5</xdr:row>
          <xdr:rowOff>152400</xdr:rowOff>
        </xdr:from>
        <xdr:to>
          <xdr:col>5</xdr:col>
          <xdr:colOff>101600</xdr:colOff>
          <xdr:row>8</xdr:row>
          <xdr:rowOff>76200</xdr:rowOff>
        </xdr:to>
        <xdr:sp macro="" textlink="">
          <xdr:nvSpPr>
            <xdr:cNvPr id="1026" name="Button 2" descr="Run 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4"/>
  <sheetViews>
    <sheetView tabSelected="1" zoomScale="130" zoomScaleNormal="130" workbookViewId="0">
      <selection activeCell="F12" sqref="F12"/>
    </sheetView>
  </sheetViews>
  <sheetFormatPr baseColWidth="10" defaultColWidth="8.83203125" defaultRowHeight="13" x14ac:dyDescent="0.15"/>
  <cols>
    <col min="2" max="2" width="14.5" customWidth="1"/>
    <col min="3" max="3" width="12" customWidth="1"/>
    <col min="5" max="5" width="11.83203125" customWidth="1"/>
  </cols>
  <sheetData>
    <row r="1" spans="1:5" ht="18" x14ac:dyDescent="0.2">
      <c r="A1" s="2" t="s">
        <v>9</v>
      </c>
    </row>
    <row r="3" spans="1:5" x14ac:dyDescent="0.15">
      <c r="A3" s="1" t="s">
        <v>10</v>
      </c>
    </row>
    <row r="4" spans="1:5" x14ac:dyDescent="0.15">
      <c r="A4" s="1"/>
    </row>
    <row r="5" spans="1:5" x14ac:dyDescent="0.15">
      <c r="A5" s="5" t="s">
        <v>11</v>
      </c>
      <c r="B5" s="5" t="s">
        <v>12</v>
      </c>
      <c r="C5" s="5" t="s">
        <v>13</v>
      </c>
    </row>
    <row r="6" spans="1:5" x14ac:dyDescent="0.15">
      <c r="A6" s="3" t="s">
        <v>0</v>
      </c>
      <c r="B6" s="4">
        <v>0.2</v>
      </c>
      <c r="C6" s="4" t="s">
        <v>1</v>
      </c>
    </row>
    <row r="7" spans="1:5" x14ac:dyDescent="0.15">
      <c r="A7" s="3" t="s">
        <v>2</v>
      </c>
      <c r="B7" s="4">
        <v>20</v>
      </c>
      <c r="C7" s="4" t="s">
        <v>4</v>
      </c>
    </row>
    <row r="8" spans="1:5" x14ac:dyDescent="0.15">
      <c r="A8" s="3" t="s">
        <v>3</v>
      </c>
      <c r="B8" s="4">
        <v>150</v>
      </c>
      <c r="C8" s="4" t="s">
        <v>4</v>
      </c>
    </row>
    <row r="9" spans="1:5" x14ac:dyDescent="0.15">
      <c r="A9" s="3" t="s">
        <v>5</v>
      </c>
      <c r="B9" s="4">
        <v>1</v>
      </c>
      <c r="C9" s="4" t="s">
        <v>6</v>
      </c>
    </row>
    <row r="10" spans="1:5" x14ac:dyDescent="0.15">
      <c r="A10" s="3" t="s">
        <v>7</v>
      </c>
      <c r="B10" s="4">
        <v>40</v>
      </c>
      <c r="C10" s="4" t="s">
        <v>8</v>
      </c>
    </row>
    <row r="11" spans="1:5" x14ac:dyDescent="0.15">
      <c r="A11" s="7"/>
      <c r="B11" s="8"/>
      <c r="C11" s="8"/>
    </row>
    <row r="13" spans="1:5" ht="56" x14ac:dyDescent="0.15">
      <c r="A13" s="6" t="s">
        <v>18</v>
      </c>
      <c r="B13" s="6" t="s">
        <v>17</v>
      </c>
      <c r="C13" s="6" t="s">
        <v>15</v>
      </c>
      <c r="D13" s="6" t="s">
        <v>14</v>
      </c>
      <c r="E13" s="6" t="s">
        <v>16</v>
      </c>
    </row>
    <row r="14" spans="1:5" x14ac:dyDescent="0.15">
      <c r="A14" s="9">
        <v>0</v>
      </c>
      <c r="B14" s="10">
        <f>B$7</f>
        <v>20</v>
      </c>
      <c r="C14" s="10">
        <f>(B$7-B$8)*EXP(-B$6*A14) + B$8</f>
        <v>20</v>
      </c>
      <c r="D14" s="10">
        <f t="shared" ref="D14:D19" si="0">ABS( (C14-B14)/C14) *100</f>
        <v>0</v>
      </c>
      <c r="E14" s="10">
        <v>20</v>
      </c>
    </row>
    <row r="15" spans="1:5" x14ac:dyDescent="0.15">
      <c r="A15" s="9">
        <f t="shared" ref="A15:A23" si="1">A14+B$9</f>
        <v>1</v>
      </c>
      <c r="B15" s="10">
        <f>B14-B$6*(B14-B$8)*B$9</f>
        <v>46</v>
      </c>
      <c r="C15" s="10">
        <f>(B$7-B$8)*EXP(-B$6*A15) + B$8</f>
        <v>43.565002099862369</v>
      </c>
      <c r="D15" s="10">
        <f>ABS( (C15-B15)/C15) *100</f>
        <v>5.5893441587721711</v>
      </c>
      <c r="E15" s="10">
        <v>46</v>
      </c>
    </row>
    <row r="16" spans="1:5" x14ac:dyDescent="0.15">
      <c r="A16" s="9">
        <f t="shared" si="1"/>
        <v>2</v>
      </c>
      <c r="B16" s="10">
        <f t="shared" ref="B16:B79" si="2">B15-B$6*(B15-B$8)*B$9</f>
        <v>66.8</v>
      </c>
      <c r="C16" s="10">
        <f t="shared" ref="C16:C33" si="3">(B$7-B$8)*EXP(-B$6*A16) + B$8</f>
        <v>62.858394015366883</v>
      </c>
      <c r="D16" s="10">
        <f t="shared" si="0"/>
        <v>6.2706119785203489</v>
      </c>
      <c r="E16" s="10">
        <v>66.8</v>
      </c>
    </row>
    <row r="17" spans="1:5" x14ac:dyDescent="0.15">
      <c r="A17" s="9">
        <f t="shared" si="1"/>
        <v>3</v>
      </c>
      <c r="B17" s="10">
        <f t="shared" si="2"/>
        <v>83.44</v>
      </c>
      <c r="C17" s="10">
        <f t="shared" si="3"/>
        <v>78.654487307776563</v>
      </c>
      <c r="D17" s="10">
        <f t="shared" si="0"/>
        <v>6.084220819465302</v>
      </c>
      <c r="E17" s="10">
        <v>83.44</v>
      </c>
    </row>
    <row r="18" spans="1:5" x14ac:dyDescent="0.15">
      <c r="A18" s="9">
        <f t="shared" si="1"/>
        <v>4</v>
      </c>
      <c r="B18" s="10">
        <f t="shared" si="2"/>
        <v>96.751999999999995</v>
      </c>
      <c r="C18" s="10">
        <f t="shared" si="3"/>
        <v>91.587234664761198</v>
      </c>
      <c r="D18" s="10">
        <f t="shared" si="0"/>
        <v>5.6391759770272607</v>
      </c>
      <c r="E18" s="10">
        <v>96.751999999999995</v>
      </c>
    </row>
    <row r="19" spans="1:5" x14ac:dyDescent="0.15">
      <c r="A19" s="9">
        <f t="shared" si="1"/>
        <v>5</v>
      </c>
      <c r="B19" s="10">
        <f t="shared" si="2"/>
        <v>107.4016</v>
      </c>
      <c r="C19" s="10">
        <f t="shared" si="3"/>
        <v>102.1756726477125</v>
      </c>
      <c r="D19" s="10">
        <f t="shared" si="0"/>
        <v>5.1146493258779602</v>
      </c>
      <c r="E19" s="10">
        <v>107.4016</v>
      </c>
    </row>
    <row r="20" spans="1:5" x14ac:dyDescent="0.15">
      <c r="A20" s="9">
        <f t="shared" si="1"/>
        <v>6</v>
      </c>
      <c r="B20" s="10">
        <f t="shared" si="2"/>
        <v>115.92128</v>
      </c>
      <c r="C20" s="10">
        <f t="shared" si="3"/>
        <v>110.84475245141374</v>
      </c>
      <c r="D20" s="10">
        <f t="shared" ref="D20:D33" si="4">ABS( (C20-B20)/C20) *100</f>
        <v>4.5798537470787677</v>
      </c>
      <c r="E20" s="10">
        <v>115.92128</v>
      </c>
    </row>
    <row r="21" spans="1:5" x14ac:dyDescent="0.15">
      <c r="A21" s="9">
        <f t="shared" si="1"/>
        <v>7</v>
      </c>
      <c r="B21" s="10">
        <f t="shared" si="2"/>
        <v>122.73702399999999</v>
      </c>
      <c r="C21" s="10">
        <f t="shared" si="3"/>
        <v>117.94239468759116</v>
      </c>
      <c r="D21" s="10">
        <f t="shared" si="4"/>
        <v>4.0652297463596252</v>
      </c>
      <c r="E21" s="10">
        <v>122.73702399999999</v>
      </c>
    </row>
    <row r="22" spans="1:5" x14ac:dyDescent="0.15">
      <c r="A22" s="9">
        <f t="shared" si="1"/>
        <v>8</v>
      </c>
      <c r="B22" s="10">
        <f t="shared" si="2"/>
        <v>128.18961919999998</v>
      </c>
      <c r="C22" s="10">
        <f t="shared" si="3"/>
        <v>123.7534526606948</v>
      </c>
      <c r="D22" s="10">
        <f t="shared" si="4"/>
        <v>3.5846810282281059</v>
      </c>
      <c r="E22" s="10">
        <v>128.18961919999998</v>
      </c>
    </row>
    <row r="23" spans="1:5" x14ac:dyDescent="0.15">
      <c r="A23" s="9">
        <f t="shared" si="1"/>
        <v>9</v>
      </c>
      <c r="B23" s="10">
        <f t="shared" si="2"/>
        <v>132.55169536</v>
      </c>
      <c r="C23" s="10">
        <f t="shared" si="3"/>
        <v>128.51114453119374</v>
      </c>
      <c r="D23" s="10">
        <f t="shared" si="4"/>
        <v>3.144124848896269</v>
      </c>
      <c r="E23" s="10">
        <v>132.55169536</v>
      </c>
    </row>
    <row r="24" spans="1:5" x14ac:dyDescent="0.15">
      <c r="A24" s="9">
        <f t="shared" ref="A24:A33" si="5">A23+B$9</f>
        <v>10</v>
      </c>
      <c r="B24" s="10">
        <f t="shared" si="2"/>
        <v>136.041356288</v>
      </c>
      <c r="C24" s="10">
        <f t="shared" si="3"/>
        <v>132.40641317924036</v>
      </c>
      <c r="D24" s="10">
        <f t="shared" si="4"/>
        <v>2.7452923325088272</v>
      </c>
      <c r="E24" s="10">
        <v>136.041356288</v>
      </c>
    </row>
    <row r="25" spans="1:5" x14ac:dyDescent="0.15">
      <c r="A25" s="9">
        <f t="shared" si="5"/>
        <v>11</v>
      </c>
      <c r="B25" s="10">
        <f t="shared" si="2"/>
        <v>138.83308503040001</v>
      </c>
      <c r="C25" s="10">
        <f t="shared" si="3"/>
        <v>135.5955894128966</v>
      </c>
      <c r="D25" s="10">
        <f t="shared" si="4"/>
        <v>2.387611301754843</v>
      </c>
      <c r="E25" s="10">
        <v>138.83308503040001</v>
      </c>
    </row>
    <row r="26" spans="1:5" x14ac:dyDescent="0.15">
      <c r="A26" s="9">
        <f t="shared" si="5"/>
        <v>12</v>
      </c>
      <c r="B26" s="10">
        <f t="shared" si="2"/>
        <v>141.06646802432002</v>
      </c>
      <c r="C26" s="10">
        <f t="shared" si="3"/>
        <v>138.20666607237638</v>
      </c>
      <c r="D26" s="10">
        <f t="shared" si="4"/>
        <v>2.069221429917143</v>
      </c>
      <c r="E26" s="10">
        <v>141.06646802432002</v>
      </c>
    </row>
    <row r="27" spans="1:5" x14ac:dyDescent="0.15">
      <c r="A27" s="9">
        <f t="shared" si="5"/>
        <v>13</v>
      </c>
      <c r="B27" s="10">
        <f t="shared" si="2"/>
        <v>142.85317441945602</v>
      </c>
      <c r="C27" s="10">
        <f t="shared" si="3"/>
        <v>140.34443483213659</v>
      </c>
      <c r="D27" s="10">
        <f t="shared" si="4"/>
        <v>1.7875590081787691</v>
      </c>
      <c r="E27" s="10">
        <v>142.85317441945602</v>
      </c>
    </row>
    <row r="28" spans="1:5" x14ac:dyDescent="0.15">
      <c r="A28" s="9">
        <f t="shared" si="5"/>
        <v>14</v>
      </c>
      <c r="B28" s="10">
        <f t="shared" si="2"/>
        <v>144.28253953556481</v>
      </c>
      <c r="C28" s="10">
        <f t="shared" si="3"/>
        <v>142.09469185872166</v>
      </c>
      <c r="D28" s="10">
        <f t="shared" si="4"/>
        <v>1.5397110533998177</v>
      </c>
      <c r="E28" s="10">
        <v>144.28253953556481</v>
      </c>
    </row>
    <row r="29" spans="1:5" x14ac:dyDescent="0.15">
      <c r="A29" s="9">
        <f t="shared" si="5"/>
        <v>15</v>
      </c>
      <c r="B29" s="10">
        <f t="shared" si="2"/>
        <v>145.42603162845185</v>
      </c>
      <c r="C29" s="10">
        <f t="shared" si="3"/>
        <v>143.52768111217767</v>
      </c>
      <c r="D29" s="10">
        <f t="shared" si="4"/>
        <v>1.3226372094665657</v>
      </c>
      <c r="E29" s="10">
        <v>145.42603162845185</v>
      </c>
    </row>
    <row r="30" spans="1:5" x14ac:dyDescent="0.15">
      <c r="A30" s="9">
        <f t="shared" si="5"/>
        <v>16</v>
      </c>
      <c r="B30" s="10">
        <f t="shared" si="2"/>
        <v>146.34082530276149</v>
      </c>
      <c r="C30" s="10">
        <f t="shared" si="3"/>
        <v>144.70091348281238</v>
      </c>
      <c r="D30" s="10">
        <f t="shared" si="4"/>
        <v>1.1333113112267221</v>
      </c>
      <c r="E30" s="10">
        <v>146.34082530276149</v>
      </c>
    </row>
    <row r="31" spans="1:5" x14ac:dyDescent="0.15">
      <c r="A31" s="9">
        <f t="shared" si="5"/>
        <v>17</v>
      </c>
      <c r="B31" s="10">
        <f t="shared" si="2"/>
        <v>147.0726602422092</v>
      </c>
      <c r="C31" s="10">
        <f t="shared" si="3"/>
        <v>145.6614749051576</v>
      </c>
      <c r="D31" s="10">
        <f t="shared" si="4"/>
        <v>0.96881164904477035</v>
      </c>
      <c r="E31" s="10">
        <v>147.0726602422092</v>
      </c>
    </row>
    <row r="32" spans="1:5" x14ac:dyDescent="0.15">
      <c r="A32" s="9">
        <f t="shared" si="5"/>
        <v>18</v>
      </c>
      <c r="B32" s="10">
        <f t="shared" si="2"/>
        <v>147.65812819376737</v>
      </c>
      <c r="C32" s="10">
        <f t="shared" si="3"/>
        <v>146.44791608185196</v>
      </c>
      <c r="D32" s="10">
        <f t="shared" si="4"/>
        <v>0.82637714779021154</v>
      </c>
      <c r="E32" s="10">
        <v>147.65812819376737</v>
      </c>
    </row>
    <row r="33" spans="1:5" x14ac:dyDescent="0.15">
      <c r="A33" s="9">
        <f t="shared" si="5"/>
        <v>19</v>
      </c>
      <c r="B33" s="10">
        <f t="shared" si="2"/>
        <v>148.1265025550139</v>
      </c>
      <c r="C33" s="10">
        <f t="shared" si="3"/>
        <v>147.09179965869848</v>
      </c>
      <c r="D33" s="10">
        <f t="shared" si="4"/>
        <v>0.70344023168951308</v>
      </c>
      <c r="E33" s="10">
        <v>148.1265025550139</v>
      </c>
    </row>
    <row r="34" spans="1:5" x14ac:dyDescent="0.15">
      <c r="A34" s="9">
        <f t="shared" ref="A34:A89" si="6">A33+B$9</f>
        <v>20</v>
      </c>
      <c r="B34" s="10">
        <f t="shared" si="2"/>
        <v>148.50120204401111</v>
      </c>
      <c r="C34" s="10">
        <f t="shared" ref="C34:C89" si="7">(B$7-B$8)*EXP(-B$6*A34) + B$8</f>
        <v>147.61896694446455</v>
      </c>
      <c r="D34" s="10">
        <f t="shared" ref="D34:D89" si="8">ABS( (C34-B34)/C34) *100</f>
        <v>0.59764345856617918</v>
      </c>
      <c r="E34" s="10">
        <v>148.50120204401111</v>
      </c>
    </row>
    <row r="35" spans="1:5" x14ac:dyDescent="0.15">
      <c r="A35" s="9">
        <f t="shared" si="6"/>
        <v>21</v>
      </c>
      <c r="B35" s="10">
        <f t="shared" si="2"/>
        <v>148.80096163520889</v>
      </c>
      <c r="C35" s="10">
        <f t="shared" si="7"/>
        <v>148.05057501333789</v>
      </c>
      <c r="D35" s="10">
        <f t="shared" si="8"/>
        <v>0.50684478719748249</v>
      </c>
      <c r="E35" s="10">
        <v>148.80096163520889</v>
      </c>
    </row>
    <row r="36" spans="1:5" x14ac:dyDescent="0.15">
      <c r="A36" s="9">
        <f t="shared" si="6"/>
        <v>22</v>
      </c>
      <c r="B36" s="10">
        <f t="shared" si="2"/>
        <v>149.04076930816711</v>
      </c>
      <c r="C36" s="10">
        <f t="shared" si="7"/>
        <v>148.40394581260111</v>
      </c>
      <c r="D36" s="10">
        <f t="shared" si="8"/>
        <v>0.42911493496956093</v>
      </c>
      <c r="E36" s="10">
        <v>149.04076930816711</v>
      </c>
    </row>
    <row r="37" spans="1:5" x14ac:dyDescent="0.15">
      <c r="A37" s="9">
        <f t="shared" si="6"/>
        <v>23</v>
      </c>
      <c r="B37" s="10">
        <f t="shared" si="2"/>
        <v>149.23261544653369</v>
      </c>
      <c r="C37" s="10">
        <f t="shared" si="7"/>
        <v>148.69326135319764</v>
      </c>
      <c r="D37" s="10">
        <f t="shared" si="8"/>
        <v>0.36272934524913852</v>
      </c>
      <c r="E37" s="10">
        <v>149.23261544653369</v>
      </c>
    </row>
    <row r="38" spans="1:5" x14ac:dyDescent="0.15">
      <c r="A38" s="9">
        <f t="shared" si="6"/>
        <v>24</v>
      </c>
      <c r="B38" s="10">
        <f t="shared" si="2"/>
        <v>149.38609235722694</v>
      </c>
      <c r="C38" s="10">
        <f t="shared" si="7"/>
        <v>148.93013288362741</v>
      </c>
      <c r="D38" s="10">
        <f t="shared" si="8"/>
        <v>0.30615662846135855</v>
      </c>
      <c r="E38" s="10">
        <v>149.38609235722694</v>
      </c>
    </row>
    <row r="39" spans="1:5" x14ac:dyDescent="0.15">
      <c r="A39" s="9">
        <f t="shared" si="6"/>
        <v>25</v>
      </c>
      <c r="B39" s="10">
        <f t="shared" si="2"/>
        <v>149.50887388578155</v>
      </c>
      <c r="C39" s="10">
        <f t="shared" si="7"/>
        <v>149.12406689011888</v>
      </c>
      <c r="D39" s="10">
        <f t="shared" si="8"/>
        <v>0.25804486404345062</v>
      </c>
      <c r="E39" s="10">
        <v>149.50887388578155</v>
      </c>
    </row>
    <row r="40" spans="1:5" x14ac:dyDescent="0.15">
      <c r="A40" s="9">
        <f t="shared" si="6"/>
        <v>26</v>
      </c>
      <c r="B40" s="10">
        <f t="shared" si="2"/>
        <v>149.60709910862525</v>
      </c>
      <c r="C40" s="10">
        <f t="shared" si="7"/>
        <v>149.28284662530109</v>
      </c>
      <c r="D40" s="10">
        <f t="shared" si="8"/>
        <v>0.21720679277909966</v>
      </c>
      <c r="E40" s="10">
        <v>149.60709910862525</v>
      </c>
    </row>
    <row r="41" spans="1:5" x14ac:dyDescent="0.15">
      <c r="A41" s="9">
        <f t="shared" si="6"/>
        <v>27</v>
      </c>
      <c r="B41" s="10">
        <f t="shared" si="2"/>
        <v>149.68567928690021</v>
      </c>
      <c r="C41" s="10">
        <f t="shared" si="7"/>
        <v>149.41284447746034</v>
      </c>
      <c r="D41" s="10">
        <f t="shared" si="8"/>
        <v>0.18260465517141641</v>
      </c>
      <c r="E41" s="10">
        <v>149.68567928690021</v>
      </c>
    </row>
    <row r="42" spans="1:5" x14ac:dyDescent="0.15">
      <c r="A42" s="9">
        <f t="shared" si="6"/>
        <v>28</v>
      </c>
      <c r="B42" s="10">
        <f t="shared" si="2"/>
        <v>149.74854342952017</v>
      </c>
      <c r="C42" s="10">
        <f t="shared" si="7"/>
        <v>149.51927771685723</v>
      </c>
      <c r="D42" s="10">
        <f t="shared" si="8"/>
        <v>0.15333521948727849</v>
      </c>
      <c r="E42" s="10">
        <v>149.74854342952017</v>
      </c>
    </row>
    <row r="43" spans="1:5" x14ac:dyDescent="0.15">
      <c r="A43" s="9">
        <f t="shared" si="6"/>
        <v>29</v>
      </c>
      <c r="B43" s="10">
        <f t="shared" si="2"/>
        <v>149.79883474361614</v>
      </c>
      <c r="C43" s="10">
        <f t="shared" si="7"/>
        <v>149.60641788310113</v>
      </c>
      <c r="D43" s="10">
        <f t="shared" si="8"/>
        <v>0.1286153784293933</v>
      </c>
      <c r="E43" s="10">
        <v>149.79883474361614</v>
      </c>
    </row>
    <row r="44" spans="1:5" x14ac:dyDescent="0.15">
      <c r="A44" s="9">
        <f t="shared" si="6"/>
        <v>30</v>
      </c>
      <c r="B44" s="10">
        <f t="shared" si="2"/>
        <v>149.83906779489291</v>
      </c>
      <c r="C44" s="10">
        <f t="shared" si="7"/>
        <v>149.67776221703338</v>
      </c>
      <c r="D44" s="10">
        <f t="shared" si="8"/>
        <v>0.10776856593141937</v>
      </c>
      <c r="E44" s="10">
        <v>149.83906779489291</v>
      </c>
    </row>
    <row r="45" spans="1:5" x14ac:dyDescent="0.15">
      <c r="A45" s="9">
        <f t="shared" si="6"/>
        <v>31</v>
      </c>
      <c r="B45" s="10">
        <f t="shared" si="2"/>
        <v>149.87125423591434</v>
      </c>
      <c r="C45" s="10">
        <f t="shared" si="7"/>
        <v>149.73617401728154</v>
      </c>
      <c r="D45" s="10">
        <f t="shared" si="8"/>
        <v>9.0212147812193944E-2</v>
      </c>
      <c r="E45" s="10">
        <v>149.87125423591434</v>
      </c>
    </row>
    <row r="46" spans="1:5" x14ac:dyDescent="0.15">
      <c r="A46" s="9">
        <f t="shared" si="6"/>
        <v>32</v>
      </c>
      <c r="B46" s="10">
        <f t="shared" si="2"/>
        <v>149.89700338873146</v>
      </c>
      <c r="C46" s="10">
        <f t="shared" si="7"/>
        <v>149.7839975544874</v>
      </c>
      <c r="D46" s="10">
        <f t="shared" si="8"/>
        <v>7.5445866106594539E-2</v>
      </c>
      <c r="E46" s="10">
        <v>149.89700338873146</v>
      </c>
    </row>
    <row r="47" spans="1:5" x14ac:dyDescent="0.15">
      <c r="A47" s="9">
        <f t="shared" si="6"/>
        <v>33</v>
      </c>
      <c r="B47" s="10">
        <f t="shared" si="2"/>
        <v>149.91760271098516</v>
      </c>
      <c r="C47" s="10">
        <f t="shared" si="7"/>
        <v>149.82315215511878</v>
      </c>
      <c r="D47" s="10">
        <f t="shared" si="8"/>
        <v>6.3041362104435464E-2</v>
      </c>
      <c r="E47" s="10">
        <v>149.91760271098516</v>
      </c>
    </row>
    <row r="48" spans="1:5" x14ac:dyDescent="0.15">
      <c r="A48" s="9">
        <f t="shared" si="6"/>
        <v>34</v>
      </c>
      <c r="B48" s="10">
        <f t="shared" si="2"/>
        <v>149.93408216878814</v>
      </c>
      <c r="C48" s="10">
        <f t="shared" si="7"/>
        <v>149.85520923078016</v>
      </c>
      <c r="D48" s="10">
        <f t="shared" si="8"/>
        <v>5.2632763594163634E-2</v>
      </c>
      <c r="E48" s="10">
        <v>149.93408216878814</v>
      </c>
    </row>
    <row r="49" spans="1:5" x14ac:dyDescent="0.15">
      <c r="A49" s="9">
        <f t="shared" si="6"/>
        <v>35</v>
      </c>
      <c r="B49" s="10">
        <f t="shared" si="2"/>
        <v>149.9472657350305</v>
      </c>
      <c r="C49" s="10">
        <f t="shared" si="7"/>
        <v>149.8814553444779</v>
      </c>
      <c r="D49" s="10">
        <f t="shared" si="8"/>
        <v>4.3908294325902229E-2</v>
      </c>
      <c r="E49" s="10">
        <v>149.9472657350305</v>
      </c>
    </row>
    <row r="50" spans="1:5" x14ac:dyDescent="0.15">
      <c r="A50" s="9">
        <f t="shared" si="6"/>
        <v>36</v>
      </c>
      <c r="B50" s="10">
        <f t="shared" si="2"/>
        <v>149.95781258802441</v>
      </c>
      <c r="C50" s="10">
        <f t="shared" si="7"/>
        <v>149.90294384491102</v>
      </c>
      <c r="D50" s="10">
        <f t="shared" si="8"/>
        <v>3.6602845618666099E-2</v>
      </c>
      <c r="E50" s="10">
        <v>149.95781258802441</v>
      </c>
    </row>
    <row r="51" spans="1:5" x14ac:dyDescent="0.15">
      <c r="A51" s="9">
        <f t="shared" si="6"/>
        <v>37</v>
      </c>
      <c r="B51" s="10">
        <f t="shared" si="2"/>
        <v>149.96625007041953</v>
      </c>
      <c r="C51" s="10">
        <f t="shared" si="7"/>
        <v>149.92053714105316</v>
      </c>
      <c r="D51" s="10">
        <f t="shared" si="8"/>
        <v>3.0491439157108217E-2</v>
      </c>
      <c r="E51" s="10">
        <v>149.96625007041953</v>
      </c>
    </row>
    <row r="52" spans="1:5" x14ac:dyDescent="0.15">
      <c r="A52" s="9">
        <f t="shared" si="6"/>
        <v>38</v>
      </c>
      <c r="B52" s="10">
        <f t="shared" si="2"/>
        <v>149.97300005633562</v>
      </c>
      <c r="C52" s="10">
        <f t="shared" si="7"/>
        <v>149.93494131365273</v>
      </c>
      <c r="D52" s="10">
        <f t="shared" si="8"/>
        <v>2.538350457167712E-2</v>
      </c>
      <c r="E52" s="10">
        <v>149.97300005633562</v>
      </c>
    </row>
    <row r="53" spans="1:5" x14ac:dyDescent="0.15">
      <c r="A53" s="9">
        <f t="shared" si="6"/>
        <v>39</v>
      </c>
      <c r="B53" s="10">
        <f t="shared" si="2"/>
        <v>149.9784000450685</v>
      </c>
      <c r="C53" s="10">
        <f t="shared" si="7"/>
        <v>149.94673445273264</v>
      </c>
      <c r="D53" s="10">
        <f t="shared" si="8"/>
        <v>2.111789393175293E-2</v>
      </c>
      <c r="E53" s="10">
        <v>149.9784000450685</v>
      </c>
    </row>
    <row r="54" spans="1:5" x14ac:dyDescent="0.15">
      <c r="A54" s="9">
        <f t="shared" si="6"/>
        <v>40</v>
      </c>
      <c r="B54" s="10">
        <f t="shared" si="2"/>
        <v>149.98272003605479</v>
      </c>
      <c r="C54" s="10">
        <f t="shared" si="7"/>
        <v>149.95638985837266</v>
      </c>
      <c r="D54" s="10">
        <f t="shared" si="8"/>
        <v>1.7558556662369808E-2</v>
      </c>
      <c r="E54" s="10">
        <v>149.98272003605479</v>
      </c>
    </row>
    <row r="55" spans="1:5" x14ac:dyDescent="0.15">
      <c r="A55" s="9">
        <f t="shared" si="6"/>
        <v>41</v>
      </c>
      <c r="B55" s="10">
        <f t="shared" si="2"/>
        <v>149.98617602884383</v>
      </c>
      <c r="C55" s="10">
        <f t="shared" si="7"/>
        <v>149.96429503590363</v>
      </c>
      <c r="D55" s="10">
        <f t="shared" si="8"/>
        <v>1.4590801720475161E-2</v>
      </c>
      <c r="E55" s="10"/>
    </row>
    <row r="56" spans="1:5" x14ac:dyDescent="0.15">
      <c r="A56" s="9">
        <f t="shared" si="6"/>
        <v>42</v>
      </c>
      <c r="B56" s="10">
        <f t="shared" si="2"/>
        <v>149.98894082307507</v>
      </c>
      <c r="C56" s="10">
        <f t="shared" si="7"/>
        <v>149.97076724785674</v>
      </c>
      <c r="D56" s="10">
        <f t="shared" si="8"/>
        <v>1.2118078444108853E-2</v>
      </c>
      <c r="E56" s="10"/>
    </row>
    <row r="57" spans="1:5" x14ac:dyDescent="0.15">
      <c r="A57" s="9">
        <f t="shared" si="6"/>
        <v>43</v>
      </c>
      <c r="B57" s="10">
        <f t="shared" si="2"/>
        <v>149.99115265846007</v>
      </c>
      <c r="C57" s="10">
        <f t="shared" si="7"/>
        <v>149.97606624682322</v>
      </c>
      <c r="D57" s="10">
        <f t="shared" si="8"/>
        <v>1.005921278933627E-2</v>
      </c>
      <c r="E57" s="10"/>
    </row>
    <row r="58" spans="1:5" x14ac:dyDescent="0.15">
      <c r="A58" s="9">
        <f t="shared" si="6"/>
        <v>44</v>
      </c>
      <c r="B58" s="10">
        <f t="shared" si="2"/>
        <v>149.99292212676806</v>
      </c>
      <c r="C58" s="10">
        <f t="shared" si="7"/>
        <v>149.98040470023759</v>
      </c>
      <c r="D58" s="10">
        <f t="shared" si="8"/>
        <v>8.3460413081946037E-3</v>
      </c>
      <c r="E58" s="10"/>
    </row>
    <row r="59" spans="1:5" x14ac:dyDescent="0.15">
      <c r="A59" s="9">
        <f t="shared" si="6"/>
        <v>45</v>
      </c>
      <c r="B59" s="10">
        <f t="shared" si="2"/>
        <v>149.99433770141445</v>
      </c>
      <c r="C59" s="10">
        <f t="shared" si="7"/>
        <v>149.98395672546874</v>
      </c>
      <c r="D59" s="10">
        <f t="shared" si="8"/>
        <v>6.9213909089685111E-3</v>
      </c>
      <c r="E59" s="10"/>
    </row>
    <row r="60" spans="1:5" x14ac:dyDescent="0.15">
      <c r="A60" s="9">
        <f t="shared" si="6"/>
        <v>46</v>
      </c>
      <c r="B60" s="10">
        <f t="shared" si="2"/>
        <v>149.99547016113155</v>
      </c>
      <c r="C60" s="10">
        <f t="shared" si="7"/>
        <v>149.98686487776118</v>
      </c>
      <c r="D60" s="10">
        <f t="shared" si="8"/>
        <v>5.7373579862377193E-3</v>
      </c>
      <c r="E60" s="10"/>
    </row>
    <row r="61" spans="1:5" x14ac:dyDescent="0.15">
      <c r="A61" s="9">
        <f t="shared" si="6"/>
        <v>47</v>
      </c>
      <c r="B61" s="10">
        <f t="shared" si="2"/>
        <v>149.99637612890524</v>
      </c>
      <c r="C61" s="10">
        <f t="shared" si="7"/>
        <v>149.98924587147764</v>
      </c>
      <c r="D61" s="10">
        <f t="shared" si="8"/>
        <v>4.7538457748593534E-3</v>
      </c>
      <c r="E61" s="10"/>
    </row>
    <row r="62" spans="1:5" x14ac:dyDescent="0.15">
      <c r="A62" s="9">
        <f t="shared" si="6"/>
        <v>48</v>
      </c>
      <c r="B62" s="10">
        <f t="shared" si="2"/>
        <v>149.99710090312419</v>
      </c>
      <c r="C62" s="10">
        <f t="shared" si="7"/>
        <v>149.99119526425619</v>
      </c>
      <c r="D62" s="10">
        <f t="shared" si="8"/>
        <v>3.9373236926313771E-3</v>
      </c>
      <c r="E62" s="9"/>
    </row>
    <row r="63" spans="1:5" x14ac:dyDescent="0.15">
      <c r="A63" s="9">
        <f t="shared" si="6"/>
        <v>49</v>
      </c>
      <c r="B63" s="10">
        <f t="shared" si="2"/>
        <v>149.99768072249935</v>
      </c>
      <c r="C63" s="10">
        <f t="shared" si="7"/>
        <v>149.9927912920738</v>
      </c>
      <c r="D63" s="10">
        <f t="shared" si="8"/>
        <v>3.2597769422324004E-3</v>
      </c>
      <c r="E63" s="9"/>
    </row>
    <row r="64" spans="1:5" x14ac:dyDescent="0.15">
      <c r="A64" s="9">
        <f t="shared" si="6"/>
        <v>50</v>
      </c>
      <c r="B64" s="10">
        <f t="shared" si="2"/>
        <v>149.99814457799948</v>
      </c>
      <c r="C64" s="10">
        <f t="shared" si="7"/>
        <v>149.99409800913088</v>
      </c>
      <c r="D64" s="10">
        <f t="shared" si="8"/>
        <v>2.6978187290784788E-3</v>
      </c>
      <c r="E64" s="9"/>
    </row>
    <row r="65" spans="1:5" x14ac:dyDescent="0.15">
      <c r="A65" s="9">
        <f t="shared" si="6"/>
        <v>51</v>
      </c>
      <c r="B65" s="10">
        <f t="shared" si="2"/>
        <v>149.9985156623996</v>
      </c>
      <c r="C65" s="10">
        <f t="shared" si="7"/>
        <v>149.99516785857105</v>
      </c>
      <c r="D65" s="10">
        <f t="shared" si="8"/>
        <v>2.2319411193987351E-3</v>
      </c>
      <c r="E65" s="9"/>
    </row>
    <row r="66" spans="1:5" x14ac:dyDescent="0.15">
      <c r="A66" s="9">
        <f t="shared" si="6"/>
        <v>52</v>
      </c>
      <c r="B66" s="10">
        <f t="shared" si="2"/>
        <v>149.99881252991969</v>
      </c>
      <c r="C66" s="10">
        <f t="shared" si="7"/>
        <v>149.99604377720891</v>
      </c>
      <c r="D66" s="10">
        <f t="shared" si="8"/>
        <v>1.8458838253701971E-3</v>
      </c>
      <c r="E66" s="9"/>
    </row>
    <row r="67" spans="1:5" x14ac:dyDescent="0.15">
      <c r="A67" s="9">
        <f t="shared" si="6"/>
        <v>53</v>
      </c>
      <c r="B67" s="10">
        <f t="shared" si="2"/>
        <v>149.99905002393575</v>
      </c>
      <c r="C67" s="10">
        <f t="shared" si="7"/>
        <v>149.99676091873491</v>
      </c>
      <c r="D67" s="10">
        <f t="shared" si="8"/>
        <v>1.5261030883759396E-3</v>
      </c>
      <c r="E67" s="9"/>
    </row>
    <row r="68" spans="1:5" x14ac:dyDescent="0.15">
      <c r="A68" s="9">
        <f t="shared" si="6"/>
        <v>54</v>
      </c>
      <c r="B68" s="10">
        <f t="shared" si="2"/>
        <v>149.9992400191486</v>
      </c>
      <c r="C68" s="10">
        <f t="shared" si="7"/>
        <v>149.99734806455655</v>
      </c>
      <c r="D68" s="10">
        <f t="shared" si="8"/>
        <v>1.261325361058828E-3</v>
      </c>
      <c r="E68" s="9"/>
    </row>
    <row r="69" spans="1:5" x14ac:dyDescent="0.15">
      <c r="A69" s="9">
        <f t="shared" si="6"/>
        <v>55</v>
      </c>
      <c r="B69" s="10">
        <f t="shared" si="2"/>
        <v>149.99939201531888</v>
      </c>
      <c r="C69" s="10">
        <f t="shared" si="7"/>
        <v>149.99782877889726</v>
      </c>
      <c r="D69" s="10">
        <f t="shared" si="8"/>
        <v>1.0421726996606383E-3</v>
      </c>
      <c r="E69" s="9"/>
    </row>
    <row r="70" spans="1:5" x14ac:dyDescent="0.15">
      <c r="A70" s="9">
        <f t="shared" si="6"/>
        <v>56</v>
      </c>
      <c r="B70" s="10">
        <f t="shared" si="2"/>
        <v>149.9995136122551</v>
      </c>
      <c r="C70" s="10">
        <f t="shared" si="7"/>
        <v>149.99822235451146</v>
      </c>
      <c r="D70" s="10">
        <f t="shared" si="8"/>
        <v>8.6084869765552243E-4</v>
      </c>
      <c r="E70" s="9"/>
    </row>
    <row r="71" spans="1:5" x14ac:dyDescent="0.15">
      <c r="A71" s="9">
        <f t="shared" si="6"/>
        <v>57</v>
      </c>
      <c r="B71" s="10">
        <f t="shared" si="2"/>
        <v>149.99961088980407</v>
      </c>
      <c r="C71" s="10">
        <f t="shared" si="7"/>
        <v>149.99854458697047</v>
      </c>
      <c r="D71" s="10">
        <f t="shared" si="8"/>
        <v>7.1087545318722573E-4</v>
      </c>
      <c r="E71" s="9"/>
    </row>
    <row r="72" spans="1:5" x14ac:dyDescent="0.15">
      <c r="A72" s="9">
        <f t="shared" si="6"/>
        <v>58</v>
      </c>
      <c r="B72" s="10">
        <f t="shared" si="2"/>
        <v>149.99968871184325</v>
      </c>
      <c r="C72" s="10">
        <f t="shared" si="7"/>
        <v>149.9988084085943</v>
      </c>
      <c r="D72" s="10">
        <f t="shared" si="8"/>
        <v>5.8687349472152798E-4</v>
      </c>
      <c r="E72" s="9"/>
    </row>
    <row r="73" spans="1:5" x14ac:dyDescent="0.15">
      <c r="A73" s="9">
        <f t="shared" si="6"/>
        <v>59</v>
      </c>
      <c r="B73" s="10">
        <f t="shared" si="2"/>
        <v>149.9997509694746</v>
      </c>
      <c r="C73" s="10">
        <f t="shared" si="7"/>
        <v>149.99902440747104</v>
      </c>
      <c r="D73" s="10">
        <f t="shared" si="8"/>
        <v>4.8437781941182081E-4</v>
      </c>
      <c r="E73" s="9"/>
    </row>
    <row r="74" spans="1:5" x14ac:dyDescent="0.15">
      <c r="A74" s="9">
        <f t="shared" si="6"/>
        <v>60</v>
      </c>
      <c r="B74" s="10">
        <f t="shared" si="2"/>
        <v>149.99980077557967</v>
      </c>
      <c r="C74" s="10">
        <f t="shared" si="7"/>
        <v>149.99920125239407</v>
      </c>
      <c r="D74" s="10">
        <f t="shared" si="8"/>
        <v>3.9968425204498452E-4</v>
      </c>
      <c r="E74" s="9"/>
    </row>
    <row r="75" spans="1:5" x14ac:dyDescent="0.15">
      <c r="A75" s="9">
        <f t="shared" si="6"/>
        <v>61</v>
      </c>
      <c r="B75" s="10">
        <f t="shared" si="2"/>
        <v>149.99984062046374</v>
      </c>
      <c r="C75" s="10">
        <f t="shared" si="7"/>
        <v>149.99934604077109</v>
      </c>
      <c r="D75" s="10">
        <f t="shared" si="8"/>
        <v>3.2972123259916432E-4</v>
      </c>
      <c r="E75" s="9"/>
    </row>
    <row r="76" spans="1:5" x14ac:dyDescent="0.15">
      <c r="A76" s="9">
        <f t="shared" si="6"/>
        <v>62</v>
      </c>
      <c r="B76" s="10">
        <f t="shared" si="2"/>
        <v>149.99987249637098</v>
      </c>
      <c r="C76" s="10">
        <f t="shared" si="7"/>
        <v>149.99946458346801</v>
      </c>
      <c r="D76" s="10">
        <f t="shared" si="8"/>
        <v>2.7194290599947066E-4</v>
      </c>
      <c r="E76" s="9"/>
    </row>
    <row r="77" spans="1:5" x14ac:dyDescent="0.15">
      <c r="A77" s="9">
        <f t="shared" si="6"/>
        <v>63</v>
      </c>
      <c r="B77" s="10">
        <f t="shared" si="2"/>
        <v>149.99989799709678</v>
      </c>
      <c r="C77" s="10">
        <f t="shared" si="7"/>
        <v>149.99956163801957</v>
      </c>
      <c r="D77" s="10">
        <f t="shared" si="8"/>
        <v>2.2424004012847781E-4</v>
      </c>
      <c r="E77" s="9"/>
    </row>
    <row r="78" spans="1:5" x14ac:dyDescent="0.15">
      <c r="A78" s="9">
        <f t="shared" si="6"/>
        <v>64</v>
      </c>
      <c r="B78" s="10">
        <f t="shared" si="2"/>
        <v>149.99991839767742</v>
      </c>
      <c r="C78" s="10">
        <f t="shared" si="7"/>
        <v>149.99964109956562</v>
      </c>
      <c r="D78" s="10">
        <f t="shared" si="8"/>
        <v>1.848658501876319E-4</v>
      </c>
      <c r="E78" s="9"/>
    </row>
    <row r="79" spans="1:5" x14ac:dyDescent="0.15">
      <c r="A79" s="9">
        <f t="shared" si="6"/>
        <v>65</v>
      </c>
      <c r="B79" s="10">
        <f t="shared" si="2"/>
        <v>149.99993471814193</v>
      </c>
      <c r="C79" s="10">
        <f t="shared" si="7"/>
        <v>149.99970615717709</v>
      </c>
      <c r="D79" s="10">
        <f t="shared" si="8"/>
        <v>1.5237427505556246E-4</v>
      </c>
      <c r="E79" s="9"/>
    </row>
    <row r="80" spans="1:5" x14ac:dyDescent="0.15">
      <c r="A80" s="9">
        <f t="shared" si="6"/>
        <v>66</v>
      </c>
      <c r="B80" s="10">
        <f t="shared" ref="B80:B89" si="9">B79-B$6*(B79-B$8)*B$9</f>
        <v>149.99994777451354</v>
      </c>
      <c r="C80" s="10">
        <f t="shared" si="7"/>
        <v>149.99975942184432</v>
      </c>
      <c r="D80" s="10">
        <f t="shared" si="8"/>
        <v>1.2556864754501614E-4</v>
      </c>
      <c r="E80" s="9"/>
    </row>
    <row r="81" spans="1:5" x14ac:dyDescent="0.15">
      <c r="A81" s="9">
        <f t="shared" si="6"/>
        <v>67</v>
      </c>
      <c r="B81" s="10">
        <f t="shared" si="9"/>
        <v>149.99995821961085</v>
      </c>
      <c r="C81" s="10">
        <f t="shared" si="7"/>
        <v>149.99980303126543</v>
      </c>
      <c r="D81" s="10">
        <f t="shared" si="8"/>
        <v>1.0345903279926219E-4</v>
      </c>
      <c r="E81" s="9"/>
    </row>
    <row r="82" spans="1:5" x14ac:dyDescent="0.15">
      <c r="A82" s="9">
        <f t="shared" si="6"/>
        <v>68</v>
      </c>
      <c r="B82" s="10">
        <f t="shared" si="9"/>
        <v>149.99996657568869</v>
      </c>
      <c r="C82" s="10">
        <f t="shared" si="7"/>
        <v>149.9998387356396</v>
      </c>
      <c r="D82" s="10">
        <f t="shared" si="8"/>
        <v>8.5226791019589823E-5</v>
      </c>
      <c r="E82" s="9"/>
    </row>
    <row r="83" spans="1:5" x14ac:dyDescent="0.15">
      <c r="A83" s="9">
        <f t="shared" si="6"/>
        <v>69</v>
      </c>
      <c r="B83" s="10">
        <f t="shared" si="9"/>
        <v>149.99997326055095</v>
      </c>
      <c r="C83" s="10">
        <f t="shared" si="7"/>
        <v>149.99986796790876</v>
      </c>
      <c r="D83" s="10">
        <f t="shared" si="8"/>
        <v>7.0195156579535309E-5</v>
      </c>
      <c r="E83" s="9"/>
    </row>
    <row r="84" spans="1:5" x14ac:dyDescent="0.15">
      <c r="A84" s="9">
        <f t="shared" si="6"/>
        <v>70</v>
      </c>
      <c r="B84" s="10">
        <f t="shared" si="9"/>
        <v>149.99997860844076</v>
      </c>
      <c r="C84" s="10">
        <f t="shared" si="7"/>
        <v>149.99989190126652</v>
      </c>
      <c r="D84" s="10">
        <f t="shared" si="8"/>
        <v>5.7804824479805213E-5</v>
      </c>
      <c r="E84" s="9"/>
    </row>
    <row r="85" spans="1:5" x14ac:dyDescent="0.15">
      <c r="A85" s="9">
        <f t="shared" si="6"/>
        <v>71</v>
      </c>
      <c r="B85" s="10">
        <f t="shared" si="9"/>
        <v>149.9999828867526</v>
      </c>
      <c r="C85" s="10">
        <f t="shared" si="7"/>
        <v>149.99991149624253</v>
      </c>
      <c r="D85" s="10">
        <f t="shared" si="8"/>
        <v>4.7593701463098243E-5</v>
      </c>
      <c r="E85" s="9"/>
    </row>
    <row r="86" spans="1:5" x14ac:dyDescent="0.15">
      <c r="A86" s="9">
        <f t="shared" si="6"/>
        <v>72</v>
      </c>
      <c r="B86" s="10">
        <f t="shared" si="9"/>
        <v>149.99998630940209</v>
      </c>
      <c r="C86" s="10">
        <f t="shared" si="7"/>
        <v>149.99992753925198</v>
      </c>
      <c r="D86" s="10">
        <f t="shared" si="8"/>
        <v>3.9180118996599678E-5</v>
      </c>
      <c r="E86" s="9"/>
    </row>
    <row r="87" spans="1:5" x14ac:dyDescent="0.15">
      <c r="A87" s="9">
        <f t="shared" si="6"/>
        <v>73</v>
      </c>
      <c r="B87" s="10">
        <f t="shared" si="9"/>
        <v>149.99998904752167</v>
      </c>
      <c r="C87" s="10">
        <f t="shared" si="7"/>
        <v>149.99994067415722</v>
      </c>
      <c r="D87" s="10">
        <f t="shared" si="8"/>
        <v>3.2248922388011111E-5</v>
      </c>
      <c r="E87" s="9"/>
    </row>
    <row r="88" spans="1:5" x14ac:dyDescent="0.15">
      <c r="A88" s="9">
        <f t="shared" si="6"/>
        <v>74</v>
      </c>
      <c r="B88" s="10">
        <f t="shared" si="9"/>
        <v>149.99999123801734</v>
      </c>
      <c r="C88" s="10">
        <f t="shared" si="7"/>
        <v>149.99995142810806</v>
      </c>
      <c r="D88" s="10">
        <f t="shared" si="8"/>
        <v>2.6539948115293149E-5</v>
      </c>
      <c r="E88" s="9"/>
    </row>
    <row r="89" spans="1:5" x14ac:dyDescent="0.15">
      <c r="A89" s="9">
        <f t="shared" si="6"/>
        <v>75</v>
      </c>
      <c r="B89" s="10">
        <f t="shared" si="9"/>
        <v>149.99999299041389</v>
      </c>
      <c r="C89" s="10">
        <f t="shared" si="7"/>
        <v>149.99996023269833</v>
      </c>
      <c r="D89" s="10">
        <f t="shared" si="8"/>
        <v>2.1838482828899078E-5</v>
      </c>
      <c r="E89" s="9"/>
    </row>
    <row r="90" spans="1:5" x14ac:dyDescent="0.15">
      <c r="A90" s="11"/>
      <c r="B90" s="11"/>
      <c r="C90" s="11"/>
      <c r="D90" s="11"/>
      <c r="E90" s="11"/>
    </row>
    <row r="91" spans="1:5" x14ac:dyDescent="0.15">
      <c r="A91" s="11"/>
      <c r="B91" s="11"/>
      <c r="C91" s="11"/>
      <c r="D91" s="11"/>
      <c r="E91" s="11"/>
    </row>
    <row r="92" spans="1:5" x14ac:dyDescent="0.15">
      <c r="A92" s="11"/>
      <c r="B92" s="11"/>
      <c r="C92" s="11"/>
      <c r="D92" s="11"/>
      <c r="E92" s="11"/>
    </row>
    <row r="93" spans="1:5" x14ac:dyDescent="0.15">
      <c r="A93" s="11"/>
      <c r="B93" s="11"/>
      <c r="C93" s="11"/>
      <c r="D93" s="11"/>
      <c r="E93" s="11"/>
    </row>
    <row r="94" spans="1:5" x14ac:dyDescent="0.15">
      <c r="A94" s="11"/>
      <c r="B94" s="11"/>
      <c r="C94" s="11"/>
      <c r="D94" s="11"/>
      <c r="E94" s="11"/>
    </row>
    <row r="95" spans="1:5" x14ac:dyDescent="0.15">
      <c r="A95" s="11"/>
      <c r="B95" s="11"/>
      <c r="C95" s="11"/>
      <c r="D95" s="11"/>
      <c r="E95" s="11"/>
    </row>
    <row r="96" spans="1:5" x14ac:dyDescent="0.15">
      <c r="A96" s="11"/>
      <c r="B96" s="11"/>
      <c r="C96" s="11"/>
      <c r="D96" s="11"/>
      <c r="E96" s="11"/>
    </row>
    <row r="97" spans="1:5" x14ac:dyDescent="0.15">
      <c r="A97" s="11"/>
      <c r="B97" s="12"/>
      <c r="C97" s="11"/>
      <c r="D97" s="11"/>
      <c r="E97" s="11"/>
    </row>
    <row r="98" spans="1:5" x14ac:dyDescent="0.15">
      <c r="A98" s="11"/>
      <c r="B98" s="11"/>
      <c r="C98" s="11"/>
      <c r="D98" s="11"/>
      <c r="E98" s="11"/>
    </row>
    <row r="99" spans="1:5" x14ac:dyDescent="0.15">
      <c r="A99" s="11"/>
      <c r="B99" s="11"/>
      <c r="C99" s="11"/>
      <c r="D99" s="11"/>
      <c r="E99" s="11"/>
    </row>
    <row r="100" spans="1:5" x14ac:dyDescent="0.15">
      <c r="A100" s="11"/>
      <c r="B100" s="11"/>
      <c r="C100" s="11"/>
      <c r="D100" s="11"/>
      <c r="E100" s="11"/>
    </row>
    <row r="101" spans="1:5" x14ac:dyDescent="0.15">
      <c r="A101" s="11"/>
      <c r="B101" s="11"/>
      <c r="C101" s="11"/>
      <c r="D101" s="11"/>
      <c r="E101" s="11"/>
    </row>
    <row r="102" spans="1:5" x14ac:dyDescent="0.15">
      <c r="A102" s="11"/>
      <c r="B102" s="11"/>
      <c r="C102" s="11"/>
      <c r="D102" s="11"/>
      <c r="E102" s="11"/>
    </row>
    <row r="103" spans="1:5" x14ac:dyDescent="0.15">
      <c r="A103" s="11"/>
      <c r="B103" s="11"/>
      <c r="C103" s="11"/>
      <c r="D103" s="11"/>
      <c r="E103" s="11"/>
    </row>
    <row r="104" spans="1:5" x14ac:dyDescent="0.15">
      <c r="A104" s="11"/>
      <c r="B104" s="11"/>
      <c r="C104" s="11"/>
      <c r="D104" s="11"/>
      <c r="E104" s="11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Lab1_concentration" altText="Run !">
                <anchor>
                  <from>
                    <xdr:col>4</xdr:col>
                    <xdr:colOff>12700</xdr:colOff>
                    <xdr:row>5</xdr:row>
                    <xdr:rowOff>152400</xdr:rowOff>
                  </from>
                  <to>
                    <xdr:col>5</xdr:col>
                    <xdr:colOff>101600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3" x14ac:dyDescent="0.15"/>
  <sheetData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3" x14ac:dyDescent="0.15"/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Computed</vt:lpstr>
    </vt:vector>
  </TitlesOfParts>
  <Company>Ames, Iowa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Batchelor</dc:creator>
  <cp:lastModifiedBy>Microsoft Office User</cp:lastModifiedBy>
  <dcterms:created xsi:type="dcterms:W3CDTF">2002-01-24T03:12:55Z</dcterms:created>
  <dcterms:modified xsi:type="dcterms:W3CDTF">2020-08-20T16:23:14Z</dcterms:modified>
</cp:coreProperties>
</file>