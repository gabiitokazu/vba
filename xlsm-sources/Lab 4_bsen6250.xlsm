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abiitokazu/Dropbox/Fall_2020/BSEN 6250/labs/"/>
    </mc:Choice>
  </mc:AlternateContent>
  <xr:revisionPtr revIDLastSave="0" documentId="13_ncr:1_{3B17B042-7E59-E249-87D2-744F642F506D}" xr6:coauthVersionLast="45" xr6:coauthVersionMax="45" xr10:uidLastSave="{00000000-0000-0000-0000-000000000000}"/>
  <bookViews>
    <workbookView xWindow="3820" yWindow="460" windowWidth="34580" windowHeight="1872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hunter_output">Sheet1!$AJ$3:$AZ$17</definedName>
    <definedName name="Inputs">Sheet1!$A$11:$F$22</definedName>
    <definedName name="Population">Sheet1!$B$28:$M$115</definedName>
    <definedName name="Summary">Sheet1!$N$28:$R$115</definedName>
    <definedName name="Time">Sheet1!$A$28:$A$115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1" l="1"/>
  <c r="D23" i="1"/>
  <c r="C21" i="2" l="1"/>
  <c r="C20" i="2"/>
  <c r="C19" i="2"/>
  <c r="C18" i="2"/>
  <c r="C17" i="2"/>
  <c r="C16" i="2"/>
  <c r="B21" i="2"/>
  <c r="B20" i="2"/>
  <c r="B19" i="2"/>
  <c r="B18" i="2"/>
  <c r="B17" i="2"/>
  <c r="B16" i="2"/>
  <c r="B23" i="1"/>
  <c r="C23" i="1"/>
  <c r="B10" i="3"/>
  <c r="F10" i="3"/>
  <c r="B11" i="3"/>
  <c r="F11" i="3"/>
  <c r="B12" i="3"/>
  <c r="F12" i="3"/>
  <c r="B13" i="3"/>
  <c r="F13" i="3"/>
  <c r="B14" i="3"/>
  <c r="B21" i="3"/>
  <c r="B22" i="3"/>
  <c r="B23" i="3"/>
  <c r="B24" i="3"/>
  <c r="B25" i="3"/>
  <c r="B26" i="3"/>
  <c r="B27" i="3"/>
  <c r="B28" i="3"/>
</calcChain>
</file>

<file path=xl/sharedStrings.xml><?xml version="1.0" encoding="utf-8"?>
<sst xmlns="http://schemas.openxmlformats.org/spreadsheetml/2006/main" count="50" uniqueCount="47">
  <si>
    <t>Time, Yr</t>
  </si>
  <si>
    <t>1 year</t>
  </si>
  <si>
    <t>2 year</t>
  </si>
  <si>
    <t>3 year</t>
  </si>
  <si>
    <t>4 year</t>
  </si>
  <si>
    <t>5 year</t>
  </si>
  <si>
    <t>6 year</t>
  </si>
  <si>
    <t>7 year</t>
  </si>
  <si>
    <t>8 year</t>
  </si>
  <si>
    <t>9 year</t>
  </si>
  <si>
    <t>10 year</t>
  </si>
  <si>
    <t>11 year</t>
  </si>
  <si>
    <t>&lt;====================================  AGE ====================================================&gt;</t>
  </si>
  <si>
    <t>Female #</t>
  </si>
  <si>
    <t>Male #</t>
  </si>
  <si>
    <t>Birth</t>
  </si>
  <si>
    <t>Harvested</t>
  </si>
  <si>
    <t>Year 0</t>
  </si>
  <si>
    <t>Sx</t>
  </si>
  <si>
    <t>mx</t>
  </si>
  <si>
    <t>Fx</t>
  </si>
  <si>
    <t xml:space="preserve"> </t>
  </si>
  <si>
    <t>Mx</t>
  </si>
  <si>
    <t>Px</t>
  </si>
  <si>
    <t>Age, Yrs</t>
  </si>
  <si>
    <t>Survival</t>
  </si>
  <si>
    <t># Females</t>
  </si>
  <si>
    <t># Males</t>
  </si>
  <si>
    <t>Ma</t>
  </si>
  <si>
    <t>R</t>
  </si>
  <si>
    <t>H</t>
  </si>
  <si>
    <t>Total</t>
  </si>
  <si>
    <t>Average</t>
  </si>
  <si>
    <t>Pop</t>
  </si>
  <si>
    <t>Mod</t>
  </si>
  <si>
    <t>Hunter Density ===&gt;</t>
  </si>
  <si>
    <t>Deer Population model with hunting pressure</t>
  </si>
  <si>
    <t>h</t>
  </si>
  <si>
    <t>Harvest</t>
  </si>
  <si>
    <t>Carrying Capacity Coef  (K) ==&gt;</t>
  </si>
  <si>
    <t>hunter #</t>
  </si>
  <si>
    <t>Reprod</t>
  </si>
  <si>
    <t>DeathHun</t>
  </si>
  <si>
    <t>birth</t>
  </si>
  <si>
    <t>death</t>
  </si>
  <si>
    <t>K</t>
  </si>
  <si>
    <t>hunter number to get pop to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</si>
</sst>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color rgb="FF000000"/>
      <name val="Arial"/>
      <family val="2"/>
    </font>
    <font>
      <sz val="10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 applyAlignment="1">
      <alignment wrapText="1"/>
    </xf>
    <xf numFmtId="0" fontId="0" fillId="0" borderId="3" xfId="0" applyBorder="1"/>
    <xf numFmtId="0" fontId="2" fillId="0" borderId="0" xfId="0" applyFont="1"/>
    <xf numFmtId="0" fontId="3" fillId="0" borderId="0" xfId="0" applyFont="1"/>
    <xf numFmtId="0" fontId="2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0" xfId="0" applyFont="1"/>
    <xf numFmtId="1" fontId="0" fillId="0" borderId="0" xfId="0" applyNumberFormat="1" applyAlignment="1">
      <alignment horizontal="center"/>
    </xf>
    <xf numFmtId="0" fontId="2" fillId="0" borderId="0" xfId="0" applyFont="1" applyBorder="1" applyAlignment="1">
      <alignment horizontal="center"/>
    </xf>
    <xf numFmtId="0" fontId="0" fillId="2" borderId="0" xfId="0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Sheet1!$B$27</c:f>
              <c:strCache>
                <c:ptCount val="1"/>
                <c:pt idx="0">
                  <c:v>Year 0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Sheet1!$A$28:$A$126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Sheet1!$B$28:$B$126</c:f>
              <c:numCache>
                <c:formatCode>0</c:formatCode>
                <c:ptCount val="99"/>
                <c:pt idx="0">
                  <c:v>1372.0635499540083</c:v>
                </c:pt>
                <c:pt idx="1">
                  <c:v>1675.3698045746062</c:v>
                </c:pt>
                <c:pt idx="2">
                  <c:v>1539.6680838563946</c:v>
                </c:pt>
                <c:pt idx="3">
                  <c:v>1527.5526505724158</c:v>
                </c:pt>
                <c:pt idx="4">
                  <c:v>1461.9984281070085</c:v>
                </c:pt>
                <c:pt idx="5">
                  <c:v>1471.6450503347705</c:v>
                </c:pt>
                <c:pt idx="6">
                  <c:v>1463.5365508366285</c:v>
                </c:pt>
                <c:pt idx="7">
                  <c:v>1417.5895829095607</c:v>
                </c:pt>
                <c:pt idx="8">
                  <c:v>1401.502311601233</c:v>
                </c:pt>
                <c:pt idx="9">
                  <c:v>1365.7995940972985</c:v>
                </c:pt>
                <c:pt idx="10">
                  <c:v>1321.0871601622912</c:v>
                </c:pt>
                <c:pt idx="11">
                  <c:v>1283.2126479400283</c:v>
                </c:pt>
                <c:pt idx="12">
                  <c:v>1250.8310687594847</c:v>
                </c:pt>
                <c:pt idx="13">
                  <c:v>1247.8178088617979</c:v>
                </c:pt>
                <c:pt idx="14">
                  <c:v>1217.1124018368175</c:v>
                </c:pt>
                <c:pt idx="15">
                  <c:v>1224.6683096021231</c:v>
                </c:pt>
                <c:pt idx="16">
                  <c:v>1190.3139322467382</c:v>
                </c:pt>
                <c:pt idx="17">
                  <c:v>1194.5636383087142</c:v>
                </c:pt>
                <c:pt idx="18">
                  <c:v>1150.9344786964566</c:v>
                </c:pt>
                <c:pt idx="19">
                  <c:v>1152.5430848251813</c:v>
                </c:pt>
                <c:pt idx="20">
                  <c:v>1113.9546569633937</c:v>
                </c:pt>
                <c:pt idx="21">
                  <c:v>1115.9620873174849</c:v>
                </c:pt>
                <c:pt idx="22">
                  <c:v>1085.9396649816035</c:v>
                </c:pt>
                <c:pt idx="23">
                  <c:v>1084.8927277409225</c:v>
                </c:pt>
                <c:pt idx="24">
                  <c:v>1061.4579164238392</c:v>
                </c:pt>
                <c:pt idx="25">
                  <c:v>1056.1481952457098</c:v>
                </c:pt>
                <c:pt idx="26">
                  <c:v>1036.214299853968</c:v>
                </c:pt>
                <c:pt idx="27">
                  <c:v>1028.2980631338671</c:v>
                </c:pt>
                <c:pt idx="28">
                  <c:v>1008.7754615231908</c:v>
                </c:pt>
                <c:pt idx="29">
                  <c:v>1000.4689439670128</c:v>
                </c:pt>
                <c:pt idx="30">
                  <c:v>978.25205749613747</c:v>
                </c:pt>
                <c:pt idx="31">
                  <c:v>970.77620756398665</c:v>
                </c:pt>
                <c:pt idx="32">
                  <c:v>943.77518525921823</c:v>
                </c:pt>
                <c:pt idx="33">
                  <c:v>937.48939281431808</c:v>
                </c:pt>
                <c:pt idx="34">
                  <c:v>905.65683589480705</c:v>
                </c:pt>
                <c:pt idx="35">
                  <c:v>900.10354612004858</c:v>
                </c:pt>
                <c:pt idx="36">
                  <c:v>865.44325322272766</c:v>
                </c:pt>
                <c:pt idx="37">
                  <c:v>859.23024098080259</c:v>
                </c:pt>
                <c:pt idx="38">
                  <c:v>825.0147219270043</c:v>
                </c:pt>
                <c:pt idx="39">
                  <c:v>816.10528343212036</c:v>
                </c:pt>
                <c:pt idx="40">
                  <c:v>785.4903753240776</c:v>
                </c:pt>
                <c:pt idx="41">
                  <c:v>772.03420348120676</c:v>
                </c:pt>
                <c:pt idx="42">
                  <c:v>746.46642021460036</c:v>
                </c:pt>
                <c:pt idx="43">
                  <c:v>727.72709716053566</c:v>
                </c:pt>
                <c:pt idx="44">
                  <c:v>705.96578930540932</c:v>
                </c:pt>
                <c:pt idx="45">
                  <c:v>682.7058858438121</c:v>
                </c:pt>
                <c:pt idx="46">
                  <c:v>661.13527585289273</c:v>
                </c:pt>
                <c:pt idx="47">
                  <c:v>635.19601655057056</c:v>
                </c:pt>
                <c:pt idx="48">
                  <c:v>609.26617517734269</c:v>
                </c:pt>
                <c:pt idx="49">
                  <c:v>582.67376488137722</c:v>
                </c:pt>
                <c:pt idx="50">
                  <c:v>548.78749940894807</c:v>
                </c:pt>
                <c:pt idx="51">
                  <c:v>522.87757464870651</c:v>
                </c:pt>
                <c:pt idx="52">
                  <c:v>480.23684462302225</c:v>
                </c:pt>
                <c:pt idx="53">
                  <c:v>454.98312288511477</c:v>
                </c:pt>
                <c:pt idx="54">
                  <c:v>407.00406786445484</c:v>
                </c:pt>
                <c:pt idx="55">
                  <c:v>380.64457746786604</c:v>
                </c:pt>
                <c:pt idx="56">
                  <c:v>334.8947832809626</c:v>
                </c:pt>
                <c:pt idx="57">
                  <c:v>304.39276750455207</c:v>
                </c:pt>
                <c:pt idx="58">
                  <c:v>269.50606537215339</c:v>
                </c:pt>
                <c:pt idx="59">
                  <c:v>232.58991333610345</c:v>
                </c:pt>
                <c:pt idx="60">
                  <c:v>212.54012902301355</c:v>
                </c:pt>
                <c:pt idx="61">
                  <c:v>171.26520613435733</c:v>
                </c:pt>
                <c:pt idx="62">
                  <c:v>160.56046657874211</c:v>
                </c:pt>
                <c:pt idx="63">
                  <c:v>120.28531356541535</c:v>
                </c:pt>
                <c:pt idx="64">
                  <c:v>110.74717665661437</c:v>
                </c:pt>
                <c:pt idx="65">
                  <c:v>78.723349380852554</c:v>
                </c:pt>
                <c:pt idx="66">
                  <c:v>63.890475559707326</c:v>
                </c:pt>
                <c:pt idx="67">
                  <c:v>44.765477666600653</c:v>
                </c:pt>
                <c:pt idx="68">
                  <c:v>31.293378536613481</c:v>
                </c:pt>
                <c:pt idx="69">
                  <c:v>19.091798503534122</c:v>
                </c:pt>
                <c:pt idx="70">
                  <c:v>13.548655520506053</c:v>
                </c:pt>
                <c:pt idx="71">
                  <c:v>8.1800136350088852</c:v>
                </c:pt>
                <c:pt idx="72">
                  <c:v>5.6831658316859661</c:v>
                </c:pt>
                <c:pt idx="73">
                  <c:v>3.4019429726517414</c:v>
                </c:pt>
                <c:pt idx="74">
                  <c:v>2.2531499652004361</c:v>
                </c:pt>
                <c:pt idx="75">
                  <c:v>1.3063221120925199</c:v>
                </c:pt>
                <c:pt idx="76">
                  <c:v>0.74515724993103571</c:v>
                </c:pt>
                <c:pt idx="77">
                  <c:v>0.34242487040723757</c:v>
                </c:pt>
                <c:pt idx="78">
                  <c:v>0.16046553631723945</c:v>
                </c:pt>
                <c:pt idx="79">
                  <c:v>6.6946729576997266E-2</c:v>
                </c:pt>
                <c:pt idx="80">
                  <c:v>2.8460304696163532E-2</c:v>
                </c:pt>
                <c:pt idx="81">
                  <c:v>1.0727984469034172E-2</c:v>
                </c:pt>
                <c:pt idx="82">
                  <c:v>4.0681459887767692E-3</c:v>
                </c:pt>
                <c:pt idx="83">
                  <c:v>1.3682370467611108E-3</c:v>
                </c:pt>
                <c:pt idx="84">
                  <c:v>4.4871665097856163E-4</c:v>
                </c:pt>
                <c:pt idx="85">
                  <c:v>1.2422672896450867E-4</c:v>
                </c:pt>
                <c:pt idx="86">
                  <c:v>3.2136384288588268E-5</c:v>
                </c:pt>
                <c:pt idx="87">
                  <c:v>6.7560371577391965E-6</c:v>
                </c:pt>
                <c:pt idx="88">
                  <c:v>1.3270522376498941E-6</c:v>
                </c:pt>
                <c:pt idx="89">
                  <c:v>2.282195731900086E-7</c:v>
                </c:pt>
                <c:pt idx="90">
                  <c:v>3.6999337415471875E-8</c:v>
                </c:pt>
                <c:pt idx="91">
                  <c:v>5.2758622746475184E-9</c:v>
                </c:pt>
                <c:pt idx="92">
                  <c:v>6.8688473974403158E-10</c:v>
                </c:pt>
                <c:pt idx="93">
                  <c:v>7.8377905803008887E-11</c:v>
                </c:pt>
                <c:pt idx="94">
                  <c:v>7.7033970574746669E-12</c:v>
                </c:pt>
                <c:pt idx="95">
                  <c:v>6.4695717503426094E-13</c:v>
                </c:pt>
                <c:pt idx="96">
                  <c:v>4.2235028294347118E-14</c:v>
                </c:pt>
                <c:pt idx="97">
                  <c:v>2.3660004632057971E-15</c:v>
                </c:pt>
                <c:pt idx="98">
                  <c:v>9.6347879374033105E-17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E-BB47-BC14-9E97DEC7DF0A}"/>
            </c:ext>
          </c:extLst>
        </c:ser>
        <c:ser>
          <c:idx val="1"/>
          <c:order val="1"/>
          <c:tx>
            <c:strRef>
              <c:f>Sheet1!$F$27</c:f>
              <c:strCache>
                <c:ptCount val="1"/>
                <c:pt idx="0">
                  <c:v>4 year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Sheet1!$A$28:$A$126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Sheet1!$F$28:$F$126</c:f>
              <c:numCache>
                <c:formatCode>0</c:formatCode>
                <c:ptCount val="99"/>
                <c:pt idx="0">
                  <c:v>596.45669976873899</c:v>
                </c:pt>
                <c:pt idx="1">
                  <c:v>488.39653090399054</c:v>
                </c:pt>
                <c:pt idx="2">
                  <c:v>435.01930865640327</c:v>
                </c:pt>
                <c:pt idx="3">
                  <c:v>422.45808</c:v>
                </c:pt>
                <c:pt idx="4">
                  <c:v>464.6583880332372</c:v>
                </c:pt>
                <c:pt idx="5">
                  <c:v>334.06909715922581</c:v>
                </c:pt>
                <c:pt idx="6">
                  <c:v>422.59563909670618</c:v>
                </c:pt>
                <c:pt idx="7">
                  <c:v>304.59432505379425</c:v>
                </c:pt>
                <c:pt idx="8">
                  <c:v>350.11795605713615</c:v>
                </c:pt>
                <c:pt idx="9">
                  <c:v>339.56515785830095</c:v>
                </c:pt>
                <c:pt idx="10">
                  <c:v>291.82950108239686</c:v>
                </c:pt>
                <c:pt idx="11">
                  <c:v>415.11771903164015</c:v>
                </c:pt>
                <c:pt idx="12">
                  <c:v>279.45986051841999</c:v>
                </c:pt>
                <c:pt idx="13">
                  <c:v>389.160407891207</c:v>
                </c:pt>
                <c:pt idx="14">
                  <c:v>263.42506213195225</c:v>
                </c:pt>
                <c:pt idx="15">
                  <c:v>361.70023823505682</c:v>
                </c:pt>
                <c:pt idx="16">
                  <c:v>249.41598248829052</c:v>
                </c:pt>
                <c:pt idx="17">
                  <c:v>351.47469486522868</c:v>
                </c:pt>
                <c:pt idx="18">
                  <c:v>242.6924730962084</c:v>
                </c:pt>
                <c:pt idx="19">
                  <c:v>347.85253398128668</c:v>
                </c:pt>
                <c:pt idx="20">
                  <c:v>237.3488525315058</c:v>
                </c:pt>
                <c:pt idx="21">
                  <c:v>342.90909137608753</c:v>
                </c:pt>
                <c:pt idx="22">
                  <c:v>229.49658107582761</c:v>
                </c:pt>
                <c:pt idx="23">
                  <c:v>335.8625836238802</c:v>
                </c:pt>
                <c:pt idx="24">
                  <c:v>222.12279671744815</c:v>
                </c:pt>
                <c:pt idx="25">
                  <c:v>329.03521637905283</c:v>
                </c:pt>
                <c:pt idx="26">
                  <c:v>216.53660132779447</c:v>
                </c:pt>
                <c:pt idx="27">
                  <c:v>321.07413342456113</c:v>
                </c:pt>
                <c:pt idx="28">
                  <c:v>211.65493543215774</c:v>
                </c:pt>
                <c:pt idx="29">
                  <c:v>311.25025300312313</c:v>
                </c:pt>
                <c:pt idx="30">
                  <c:v>206.62135289204991</c:v>
                </c:pt>
                <c:pt idx="31">
                  <c:v>300.31490948611423</c:v>
                </c:pt>
                <c:pt idx="32">
                  <c:v>201.15004266356692</c:v>
                </c:pt>
                <c:pt idx="33">
                  <c:v>289.41806041453276</c:v>
                </c:pt>
                <c:pt idx="34">
                  <c:v>195.06366937588962</c:v>
                </c:pt>
                <c:pt idx="35">
                  <c:v>279.18433322176816</c:v>
                </c:pt>
                <c:pt idx="36">
                  <c:v>188.18897368207175</c:v>
                </c:pt>
                <c:pt idx="37">
                  <c:v>269.73847864568262</c:v>
                </c:pt>
                <c:pt idx="38">
                  <c:v>180.58816667062973</c:v>
                </c:pt>
                <c:pt idx="39">
                  <c:v>260.82649382012232</c:v>
                </c:pt>
                <c:pt idx="40">
                  <c:v>172.56956968976166</c:v>
                </c:pt>
                <c:pt idx="41">
                  <c:v>251.80285024791618</c:v>
                </c:pt>
                <c:pt idx="42">
                  <c:v>164.50811190739162</c:v>
                </c:pt>
                <c:pt idx="43">
                  <c:v>241.74127931951881</c:v>
                </c:pt>
                <c:pt idx="44">
                  <c:v>156.62694874604369</c:v>
                </c:pt>
                <c:pt idx="45">
                  <c:v>229.77716643342978</c:v>
                </c:pt>
                <c:pt idx="46">
                  <c:v>148.84556375545327</c:v>
                </c:pt>
                <c:pt idx="47">
                  <c:v>215.52124806291133</c:v>
                </c:pt>
                <c:pt idx="48">
                  <c:v>140.76972929474573</c:v>
                </c:pt>
                <c:pt idx="49">
                  <c:v>199.26211207068991</c:v>
                </c:pt>
                <c:pt idx="50">
                  <c:v>131.83051532934337</c:v>
                </c:pt>
                <c:pt idx="51">
                  <c:v>181.81090355392647</c:v>
                </c:pt>
                <c:pt idx="52">
                  <c:v>121.48780556709973</c:v>
                </c:pt>
                <c:pt idx="53">
                  <c:v>164.11465624117801</c:v>
                </c:pt>
                <c:pt idx="54">
                  <c:v>109.4283446909601</c:v>
                </c:pt>
                <c:pt idx="55">
                  <c:v>146.87474563550268</c:v>
                </c:pt>
                <c:pt idx="56">
                  <c:v>95.759329473258546</c:v>
                </c:pt>
                <c:pt idx="57">
                  <c:v>130.26454829587789</c:v>
                </c:pt>
                <c:pt idx="58">
                  <c:v>81.156698133361857</c:v>
                </c:pt>
                <c:pt idx="59">
                  <c:v>113.72829875659298</c:v>
                </c:pt>
                <c:pt idx="60">
                  <c:v>66.778091373332828</c:v>
                </c:pt>
                <c:pt idx="61">
                  <c:v>96.012499258259226</c:v>
                </c:pt>
                <c:pt idx="62">
                  <c:v>53.739567044823914</c:v>
                </c:pt>
                <c:pt idx="63">
                  <c:v>75.323891825115993</c:v>
                </c:pt>
                <c:pt idx="64">
                  <c:v>42.380547159766891</c:v>
                </c:pt>
                <c:pt idx="65">
                  <c:v>53.003631893464679</c:v>
                </c:pt>
                <c:pt idx="66">
                  <c:v>32.01579135720651</c:v>
                </c:pt>
                <c:pt idx="67">
                  <c:v>30.22003771437894</c:v>
                </c:pt>
                <c:pt idx="68">
                  <c:v>22.083010698645388</c:v>
                </c:pt>
                <c:pt idx="69">
                  <c:v>15.697452694445165</c:v>
                </c:pt>
                <c:pt idx="70">
                  <c:v>23.396083790916464</c:v>
                </c:pt>
                <c:pt idx="71">
                  <c:v>8.9262458157886755</c:v>
                </c:pt>
                <c:pt idx="72">
                  <c:v>11.979632761562195</c:v>
                </c:pt>
                <c:pt idx="73">
                  <c:v>3.8069087026675525</c:v>
                </c:pt>
                <c:pt idx="74">
                  <c:v>5.7237389977743884</c:v>
                </c:pt>
                <c:pt idx="75">
                  <c:v>1.6310964673804866</c:v>
                </c:pt>
                <c:pt idx="76">
                  <c:v>2.400899325575657</c:v>
                </c:pt>
                <c:pt idx="77">
                  <c:v>0.67834815594608699</c:v>
                </c:pt>
                <c:pt idx="78">
                  <c:v>0.95186140825064292</c:v>
                </c:pt>
                <c:pt idx="79">
                  <c:v>0.26048090839066323</c:v>
                </c:pt>
                <c:pt idx="80">
                  <c:v>0.31479770110394545</c:v>
                </c:pt>
                <c:pt idx="81">
                  <c:v>6.8279592355943441E-2</c:v>
                </c:pt>
                <c:pt idx="82">
                  <c:v>6.7789962378751234E-2</c:v>
                </c:pt>
                <c:pt idx="83">
                  <c:v>1.3349192188186164E-2</c:v>
                </c:pt>
                <c:pt idx="84">
                  <c:v>1.2023285678156231E-2</c:v>
                </c:pt>
                <c:pt idx="85">
                  <c:v>2.1391623963393737E-3</c:v>
                </c:pt>
                <c:pt idx="86">
                  <c:v>1.7186211435783355E-3</c:v>
                </c:pt>
                <c:pt idx="87">
                  <c:v>2.7282675959851657E-4</c:v>
                </c:pt>
                <c:pt idx="88">
                  <c:v>1.8956397483643322E-4</c:v>
                </c:pt>
                <c:pt idx="89">
                  <c:v>2.4770836310228611E-5</c:v>
                </c:pt>
                <c:pt idx="90">
                  <c:v>1.3576275204699156E-5</c:v>
                </c:pt>
                <c:pt idx="91">
                  <c:v>1.3471552534236992E-6</c:v>
                </c:pt>
                <c:pt idx="92">
                  <c:v>5.6062394037727779E-7</c:v>
                </c:pt>
                <c:pt idx="93">
                  <c:v>4.5507031678303738E-8</c:v>
                </c:pt>
                <c:pt idx="94">
                  <c:v>1.5630669045812402E-8</c:v>
                </c:pt>
                <c:pt idx="95">
                  <c:v>1.0520080653330361E-9</c:v>
                </c:pt>
                <c:pt idx="96">
                  <c:v>2.9018000833356315E-10</c:v>
                </c:pt>
                <c:pt idx="97">
                  <c:v>1.5628571171181109E-11</c:v>
                </c:pt>
                <c:pt idx="98">
                  <c:v>3.2543623303783962E-12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8E-BB47-BC14-9E97DEC7DF0A}"/>
            </c:ext>
          </c:extLst>
        </c:ser>
        <c:ser>
          <c:idx val="2"/>
          <c:order val="2"/>
          <c:tx>
            <c:strRef>
              <c:f>Sheet1!$J$27</c:f>
              <c:strCache>
                <c:ptCount val="1"/>
                <c:pt idx="0">
                  <c:v>8 year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Sheet1!$A$28:$A$126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Sheet1!$J$28:$J$126</c:f>
              <c:numCache>
                <c:formatCode>0</c:formatCode>
                <c:ptCount val="99"/>
                <c:pt idx="0">
                  <c:v>252.69204461977964</c:v>
                </c:pt>
                <c:pt idx="1">
                  <c:v>249.10609114875979</c:v>
                </c:pt>
                <c:pt idx="2">
                  <c:v>225.1044718072817</c:v>
                </c:pt>
                <c:pt idx="3">
                  <c:v>231.82583945718389</c:v>
                </c:pt>
                <c:pt idx="4">
                  <c:v>224.123080896</c:v>
                </c:pt>
                <c:pt idx="5">
                  <c:v>224.71780330396217</c:v>
                </c:pt>
                <c:pt idx="6">
                  <c:v>224.44082501068806</c:v>
                </c:pt>
                <c:pt idx="7">
                  <c:v>224.440825010688</c:v>
                </c:pt>
                <c:pt idx="8">
                  <c:v>246.86073458061486</c:v>
                </c:pt>
                <c:pt idx="9">
                  <c:v>177.48209189653167</c:v>
                </c:pt>
                <c:pt idx="10">
                  <c:v>224.51390652720787</c:v>
                </c:pt>
                <c:pt idx="11">
                  <c:v>161.82292361089947</c:v>
                </c:pt>
                <c:pt idx="12">
                  <c:v>186.00842693911653</c:v>
                </c:pt>
                <c:pt idx="13">
                  <c:v>155.90029219185479</c:v>
                </c:pt>
                <c:pt idx="14">
                  <c:v>155.0413096262489</c:v>
                </c:pt>
                <c:pt idx="15">
                  <c:v>220.54108501372804</c:v>
                </c:pt>
                <c:pt idx="16">
                  <c:v>148.46964615311887</c:v>
                </c:pt>
                <c:pt idx="17">
                  <c:v>206.75065087782994</c:v>
                </c:pt>
                <c:pt idx="18">
                  <c:v>139.95078108906597</c:v>
                </c:pt>
                <c:pt idx="19">
                  <c:v>192.16178768799631</c:v>
                </c:pt>
                <c:pt idx="20">
                  <c:v>132.50812691409106</c:v>
                </c:pt>
                <c:pt idx="21">
                  <c:v>186.72922644995157</c:v>
                </c:pt>
                <c:pt idx="22">
                  <c:v>128.9361038747258</c:v>
                </c:pt>
                <c:pt idx="23">
                  <c:v>184.8048679973605</c:v>
                </c:pt>
                <c:pt idx="24">
                  <c:v>126.0971793402822</c:v>
                </c:pt>
                <c:pt idx="25">
                  <c:v>182.17854744810302</c:v>
                </c:pt>
                <c:pt idx="26">
                  <c:v>121.92547481584681</c:v>
                </c:pt>
                <c:pt idx="27">
                  <c:v>178.43492390715991</c:v>
                </c:pt>
                <c:pt idx="28">
                  <c:v>118.00797785414684</c:v>
                </c:pt>
                <c:pt idx="29">
                  <c:v>174.80772393247838</c:v>
                </c:pt>
                <c:pt idx="30">
                  <c:v>115.04017971918218</c:v>
                </c:pt>
                <c:pt idx="31">
                  <c:v>170.57821073134693</c:v>
                </c:pt>
                <c:pt idx="32">
                  <c:v>112.44667950481001</c:v>
                </c:pt>
                <c:pt idx="33">
                  <c:v>165.35904241388005</c:v>
                </c:pt>
                <c:pt idx="34">
                  <c:v>109.77246998782975</c:v>
                </c:pt>
                <c:pt idx="35">
                  <c:v>159.54938309636211</c:v>
                </c:pt>
                <c:pt idx="36">
                  <c:v>106.86570730602678</c:v>
                </c:pt>
                <c:pt idx="37">
                  <c:v>153.76017486144633</c:v>
                </c:pt>
                <c:pt idx="38">
                  <c:v>103.63217785853864</c:v>
                </c:pt>
                <c:pt idx="39">
                  <c:v>148.32326577432835</c:v>
                </c:pt>
                <c:pt idx="40">
                  <c:v>99.979833528379515</c:v>
                </c:pt>
                <c:pt idx="41">
                  <c:v>143.30493260861493</c:v>
                </c:pt>
                <c:pt idx="42">
                  <c:v>95.941725424505506</c:v>
                </c:pt>
                <c:pt idx="43">
                  <c:v>138.57023034719418</c:v>
                </c:pt>
                <c:pt idx="44">
                  <c:v>91.681656539530564</c:v>
                </c:pt>
                <c:pt idx="45">
                  <c:v>133.77620674147136</c:v>
                </c:pt>
                <c:pt idx="46">
                  <c:v>87.398816842242823</c:v>
                </c:pt>
                <c:pt idx="47">
                  <c:v>128.43075973268631</c:v>
                </c:pt>
                <c:pt idx="48">
                  <c:v>83.211762917326126</c:v>
                </c:pt>
                <c:pt idx="49">
                  <c:v>122.0745424088874</c:v>
                </c:pt>
                <c:pt idx="50">
                  <c:v>79.077718500389182</c:v>
                </c:pt>
                <c:pt idx="51">
                  <c:v>114.50074933487595</c:v>
                </c:pt>
                <c:pt idx="52">
                  <c:v>74.787240853445041</c:v>
                </c:pt>
                <c:pt idx="53">
                  <c:v>105.86269962339887</c:v>
                </c:pt>
                <c:pt idx="54">
                  <c:v>70.038072468875455</c:v>
                </c:pt>
                <c:pt idx="55">
                  <c:v>96.591333250347304</c:v>
                </c:pt>
                <c:pt idx="56">
                  <c:v>64.543263819733113</c:v>
                </c:pt>
                <c:pt idx="57">
                  <c:v>87.189784234013118</c:v>
                </c:pt>
                <c:pt idx="58">
                  <c:v>58.13639062600727</c:v>
                </c:pt>
                <c:pt idx="59">
                  <c:v>78.030674862857808</c:v>
                </c:pt>
                <c:pt idx="60">
                  <c:v>50.874403702844162</c:v>
                </c:pt>
                <c:pt idx="61">
                  <c:v>69.206115525524922</c:v>
                </c:pt>
                <c:pt idx="62">
                  <c:v>43.116411181424432</c:v>
                </c:pt>
                <c:pt idx="63">
                  <c:v>60.420842702290685</c:v>
                </c:pt>
                <c:pt idx="64">
                  <c:v>35.477437005039477</c:v>
                </c:pt>
                <c:pt idx="65">
                  <c:v>51.008906125932704</c:v>
                </c:pt>
                <c:pt idx="66">
                  <c:v>28.550413246344959</c:v>
                </c:pt>
                <c:pt idx="67">
                  <c:v>40.017595175939952</c:v>
                </c:pt>
                <c:pt idx="68">
                  <c:v>22.515665859539133</c:v>
                </c:pt>
                <c:pt idx="69">
                  <c:v>28.1594303291158</c:v>
                </c:pt>
                <c:pt idx="70">
                  <c:v>17.009144731191984</c:v>
                </c:pt>
                <c:pt idx="71">
                  <c:v>16.055108228653872</c:v>
                </c:pt>
                <c:pt idx="72">
                  <c:v>11.732120592707849</c:v>
                </c:pt>
                <c:pt idx="73">
                  <c:v>8.3396422038075837</c:v>
                </c:pt>
                <c:pt idx="74">
                  <c:v>12.429721661501837</c:v>
                </c:pt>
                <c:pt idx="75">
                  <c:v>4.7422787490389844</c:v>
                </c:pt>
                <c:pt idx="76">
                  <c:v>6.3644626239130897</c:v>
                </c:pt>
                <c:pt idx="77">
                  <c:v>2.0225100913375202</c:v>
                </c:pt>
                <c:pt idx="78">
                  <c:v>3.0408714228079914</c:v>
                </c:pt>
                <c:pt idx="79">
                  <c:v>0.86655849217251357</c:v>
                </c:pt>
                <c:pt idx="80">
                  <c:v>1.2755344279361513</c:v>
                </c:pt>
                <c:pt idx="81">
                  <c:v>0.3603884668628391</c:v>
                </c:pt>
                <c:pt idx="82">
                  <c:v>0.50569883706238872</c:v>
                </c:pt>
                <c:pt idx="83">
                  <c:v>0.13838662993197787</c:v>
                </c:pt>
                <c:pt idx="84">
                  <c:v>0.1672437079372171</c:v>
                </c:pt>
                <c:pt idx="85">
                  <c:v>3.627514483747455E-2</c:v>
                </c:pt>
                <c:pt idx="86">
                  <c:v>3.6015017356823741E-2</c:v>
                </c:pt>
                <c:pt idx="87">
                  <c:v>7.0920733909095434E-3</c:v>
                </c:pt>
                <c:pt idx="88">
                  <c:v>6.3876542660625014E-3</c:v>
                </c:pt>
                <c:pt idx="89">
                  <c:v>1.1364805072878459E-3</c:v>
                </c:pt>
                <c:pt idx="90">
                  <c:v>9.1305804198497909E-4</c:v>
                </c:pt>
                <c:pt idx="91">
                  <c:v>1.4494565474823848E-4</c:v>
                </c:pt>
                <c:pt idx="92">
                  <c:v>1.0071033534166132E-4</c:v>
                </c:pt>
                <c:pt idx="93">
                  <c:v>1.3160091381545874E-5</c:v>
                </c:pt>
                <c:pt idx="94">
                  <c:v>7.2127166025912598E-6</c:v>
                </c:pt>
                <c:pt idx="95">
                  <c:v>7.1570802124532061E-7</c:v>
                </c:pt>
                <c:pt idx="96">
                  <c:v>2.9784469905042188E-7</c:v>
                </c:pt>
                <c:pt idx="97">
                  <c:v>2.4176684545046469E-8</c:v>
                </c:pt>
                <c:pt idx="98">
                  <c:v>8.3041618143773236E-9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8E-BB47-BC14-9E97DEC7DF0A}"/>
            </c:ext>
          </c:extLst>
        </c:ser>
        <c:ser>
          <c:idx val="3"/>
          <c:order val="3"/>
          <c:tx>
            <c:strRef>
              <c:f>Sheet1!$M$27</c:f>
              <c:strCache>
                <c:ptCount val="1"/>
                <c:pt idx="0">
                  <c:v>11 year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Sheet1!$A$28:$A$126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Sheet1!$M$28:$M$126</c:f>
              <c:numCache>
                <c:formatCode>0</c:formatCode>
                <c:ptCount val="99"/>
                <c:pt idx="0">
                  <c:v>4.4000000000000004</c:v>
                </c:pt>
                <c:pt idx="1">
                  <c:v>4.2066637602119954</c:v>
                </c:pt>
                <c:pt idx="2">
                  <c:v>4.2963109999895623</c:v>
                </c:pt>
                <c:pt idx="3">
                  <c:v>4.1913730307631605</c:v>
                </c:pt>
                <c:pt idx="4">
                  <c:v>4.2336746138043324</c:v>
                </c:pt>
                <c:pt idx="5">
                  <c:v>4.1722686720000013</c:v>
                </c:pt>
                <c:pt idx="6">
                  <c:v>4.3119606139036213</c:v>
                </c:pt>
                <c:pt idx="7">
                  <c:v>4.1686893046656008</c:v>
                </c:pt>
                <c:pt idx="8">
                  <c:v>4.1797511414536963</c:v>
                </c:pt>
                <c:pt idx="9">
                  <c:v>4.1745993451987982</c:v>
                </c:pt>
                <c:pt idx="10">
                  <c:v>4.1745993451987964</c:v>
                </c:pt>
                <c:pt idx="11">
                  <c:v>4.5916096631994359</c:v>
                </c:pt>
                <c:pt idx="12">
                  <c:v>3.3011669092754894</c:v>
                </c:pt>
                <c:pt idx="13">
                  <c:v>4.1759586614060655</c:v>
                </c:pt>
                <c:pt idx="14">
                  <c:v>3.0099063791627305</c:v>
                </c:pt>
                <c:pt idx="15">
                  <c:v>3.4597567410675674</c:v>
                </c:pt>
                <c:pt idx="16">
                  <c:v>2.8997454347684992</c:v>
                </c:pt>
                <c:pt idx="17">
                  <c:v>2.8837683590482293</c:v>
                </c:pt>
                <c:pt idx="18">
                  <c:v>4.1020641812553418</c:v>
                </c:pt>
                <c:pt idx="19">
                  <c:v>2.7615354184480116</c:v>
                </c:pt>
                <c:pt idx="20">
                  <c:v>3.8455621063276375</c:v>
                </c:pt>
                <c:pt idx="21">
                  <c:v>2.6030845282566268</c:v>
                </c:pt>
                <c:pt idx="22">
                  <c:v>3.5742092509967307</c:v>
                </c:pt>
                <c:pt idx="23">
                  <c:v>2.4646511606020938</c:v>
                </c:pt>
                <c:pt idx="24">
                  <c:v>3.473163611969099</c:v>
                </c:pt>
                <c:pt idx="25">
                  <c:v>2.3982115320699</c:v>
                </c:pt>
                <c:pt idx="26">
                  <c:v>3.4373705447509053</c:v>
                </c:pt>
                <c:pt idx="27">
                  <c:v>2.3454075357292488</c:v>
                </c:pt>
                <c:pt idx="28">
                  <c:v>3.3885209825347165</c:v>
                </c:pt>
                <c:pt idx="29">
                  <c:v>2.2678138315747507</c:v>
                </c:pt>
                <c:pt idx="30">
                  <c:v>3.3188895846731752</c:v>
                </c:pt>
                <c:pt idx="31">
                  <c:v>2.1949483880871314</c:v>
                </c:pt>
                <c:pt idx="32">
                  <c:v>3.251423665144098</c:v>
                </c:pt>
                <c:pt idx="33">
                  <c:v>2.1397473427767886</c:v>
                </c:pt>
                <c:pt idx="34">
                  <c:v>3.172754719603053</c:v>
                </c:pt>
                <c:pt idx="35">
                  <c:v>2.0915082387894661</c:v>
                </c:pt>
                <c:pt idx="36">
                  <c:v>3.075678188898169</c:v>
                </c:pt>
                <c:pt idx="37">
                  <c:v>2.041767941773633</c:v>
                </c:pt>
                <c:pt idx="38">
                  <c:v>2.9676185255923349</c:v>
                </c:pt>
                <c:pt idx="39">
                  <c:v>1.9877021558920984</c:v>
                </c:pt>
                <c:pt idx="40">
                  <c:v>2.8599392524229019</c:v>
                </c:pt>
                <c:pt idx="41">
                  <c:v>1.9275585081688185</c:v>
                </c:pt>
                <c:pt idx="42">
                  <c:v>2.7588127434025074</c:v>
                </c:pt>
                <c:pt idx="43">
                  <c:v>1.8596249036278594</c:v>
                </c:pt>
                <c:pt idx="44">
                  <c:v>2.6654717465202378</c:v>
                </c:pt>
                <c:pt idx="45">
                  <c:v>1.7845160928958024</c:v>
                </c:pt>
                <c:pt idx="46">
                  <c:v>2.5774062844578118</c:v>
                </c:pt>
                <c:pt idx="47">
                  <c:v>1.7052788116352684</c:v>
                </c:pt>
                <c:pt idx="48">
                  <c:v>2.4882374453913672</c:v>
                </c:pt>
                <c:pt idx="49">
                  <c:v>1.6256179932657167</c:v>
                </c:pt>
                <c:pt idx="50">
                  <c:v>2.3888121310279651</c:v>
                </c:pt>
                <c:pt idx="51">
                  <c:v>1.5477387902622661</c:v>
                </c:pt>
                <c:pt idx="52">
                  <c:v>2.2705864888053053</c:v>
                </c:pt>
                <c:pt idx="53">
                  <c:v>1.4708455641072389</c:v>
                </c:pt>
                <c:pt idx="54">
                  <c:v>2.1297139376286927</c:v>
                </c:pt>
                <c:pt idx="55">
                  <c:v>1.3910426798740778</c:v>
                </c:pt>
                <c:pt idx="56">
                  <c:v>1.9690462129952189</c:v>
                </c:pt>
                <c:pt idx="57">
                  <c:v>1.3027081479210836</c:v>
                </c:pt>
                <c:pt idx="58">
                  <c:v>1.79659879845646</c:v>
                </c:pt>
                <c:pt idx="59">
                  <c:v>1.2005047070470358</c:v>
                </c:pt>
                <c:pt idx="60">
                  <c:v>1.6217299867526438</c:v>
                </c:pt>
                <c:pt idx="61">
                  <c:v>1.0813368656437354</c:v>
                </c:pt>
                <c:pt idx="62">
                  <c:v>1.4513705524491554</c:v>
                </c:pt>
                <c:pt idx="63">
                  <c:v>0.94626390887290146</c:v>
                </c:pt>
                <c:pt idx="64">
                  <c:v>1.2872337487747638</c:v>
                </c:pt>
                <c:pt idx="65">
                  <c:v>0.80196524797449431</c:v>
                </c:pt>
                <c:pt idx="66">
                  <c:v>1.1238276742626068</c:v>
                </c:pt>
                <c:pt idx="67">
                  <c:v>0.65988032829373422</c:v>
                </c:pt>
                <c:pt idx="68">
                  <c:v>0.94876565394234835</c:v>
                </c:pt>
                <c:pt idx="69">
                  <c:v>0.53103768638201621</c:v>
                </c:pt>
                <c:pt idx="70">
                  <c:v>0.74432727027248302</c:v>
                </c:pt>
                <c:pt idx="71">
                  <c:v>0.41879138498742785</c:v>
                </c:pt>
                <c:pt idx="72">
                  <c:v>0.52376540412155381</c:v>
                </c:pt>
                <c:pt idx="73">
                  <c:v>0.31637009200017091</c:v>
                </c:pt>
                <c:pt idx="74">
                  <c:v>0.29862501305296207</c:v>
                </c:pt>
                <c:pt idx="75">
                  <c:v>0.21821744302436602</c:v>
                </c:pt>
                <c:pt idx="76">
                  <c:v>0.15511734499082108</c:v>
                </c:pt>
                <c:pt idx="77">
                  <c:v>0.23119282290393417</c:v>
                </c:pt>
                <c:pt idx="78">
                  <c:v>8.8206384732125109E-2</c:v>
                </c:pt>
                <c:pt idx="79">
                  <c:v>0.11837900480478347</c:v>
                </c:pt>
                <c:pt idx="80">
                  <c:v>3.7618687698877877E-2</c:v>
                </c:pt>
                <c:pt idx="81">
                  <c:v>5.6560208464228635E-2</c:v>
                </c:pt>
                <c:pt idx="82">
                  <c:v>1.6117987954408754E-2</c:v>
                </c:pt>
                <c:pt idx="83">
                  <c:v>2.3724940359612413E-2</c:v>
                </c:pt>
                <c:pt idx="84">
                  <c:v>6.7032254836488087E-3</c:v>
                </c:pt>
                <c:pt idx="85">
                  <c:v>9.4059983693604299E-3</c:v>
                </c:pt>
                <c:pt idx="86">
                  <c:v>2.5739913167347884E-3</c:v>
                </c:pt>
                <c:pt idx="87">
                  <c:v>3.110732967632238E-3</c:v>
                </c:pt>
                <c:pt idx="88">
                  <c:v>6.7471769397702659E-4</c:v>
                </c:pt>
                <c:pt idx="89">
                  <c:v>6.6987932283692165E-4</c:v>
                </c:pt>
                <c:pt idx="90">
                  <c:v>1.319125650709175E-4</c:v>
                </c:pt>
                <c:pt idx="91">
                  <c:v>1.1881036934876251E-4</c:v>
                </c:pt>
                <c:pt idx="92">
                  <c:v>2.1138537435553939E-5</c:v>
                </c:pt>
                <c:pt idx="93">
                  <c:v>1.6982879580920612E-5</c:v>
                </c:pt>
                <c:pt idx="94">
                  <c:v>2.6959891783172363E-6</c:v>
                </c:pt>
                <c:pt idx="95">
                  <c:v>1.8732122373549002E-6</c:v>
                </c:pt>
                <c:pt idx="96">
                  <c:v>2.4477769969675328E-7</c:v>
                </c:pt>
                <c:pt idx="97">
                  <c:v>1.3415652880819748E-7</c:v>
                </c:pt>
                <c:pt idx="98">
                  <c:v>1.331216919516296E-8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8E-BB47-BC14-9E97DEC7DF0A}"/>
            </c:ext>
          </c:extLst>
        </c:ser>
        <c:ser>
          <c:idx val="4"/>
          <c:order val="4"/>
          <c:tx>
            <c:strRef>
              <c:f>Sheet1!$D$27</c:f>
              <c:strCache>
                <c:ptCount val="1"/>
                <c:pt idx="0">
                  <c:v>2 year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Sheet1!$A$28:$A$127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Sheet1!$D$28:$D$127</c:f>
              <c:numCache>
                <c:formatCode>0</c:formatCode>
                <c:ptCount val="100"/>
                <c:pt idx="0">
                  <c:v>814.46962045980138</c:v>
                </c:pt>
                <c:pt idx="1">
                  <c:v>554.08505711604766</c:v>
                </c:pt>
                <c:pt idx="2">
                  <c:v>593.2819050475448</c:v>
                </c:pt>
                <c:pt idx="3">
                  <c:v>529.06668107391476</c:v>
                </c:pt>
                <c:pt idx="4">
                  <c:v>539.57563725319994</c:v>
                </c:pt>
                <c:pt idx="5">
                  <c:v>543.88777158610969</c:v>
                </c:pt>
                <c:pt idx="6">
                  <c:v>476.25088580189254</c:v>
                </c:pt>
                <c:pt idx="7">
                  <c:v>555.4569168771061</c:v>
                </c:pt>
                <c:pt idx="8">
                  <c:v>465.81917289026723</c:v>
                </c:pt>
                <c:pt idx="9">
                  <c:v>530.02773114356512</c:v>
                </c:pt>
                <c:pt idx="10">
                  <c:v>454.72222929915085</c:v>
                </c:pt>
                <c:pt idx="11">
                  <c:v>496.88509689888531</c:v>
                </c:pt>
                <c:pt idx="12">
                  <c:v>433.45139827634233</c:v>
                </c:pt>
                <c:pt idx="13">
                  <c:v>461.82359325211547</c:v>
                </c:pt>
                <c:pt idx="14">
                  <c:v>417.18782219524439</c:v>
                </c:pt>
                <c:pt idx="15">
                  <c:v>448.76748578297838</c:v>
                </c:pt>
                <c:pt idx="16">
                  <c:v>405.35305019468041</c:v>
                </c:pt>
                <c:pt idx="17">
                  <c:v>444.14266340818011</c:v>
                </c:pt>
                <c:pt idx="18">
                  <c:v>390.86058792699498</c:v>
                </c:pt>
                <c:pt idx="19">
                  <c:v>437.83081125649574</c:v>
                </c:pt>
                <c:pt idx="20">
                  <c:v>370.63321483608956</c:v>
                </c:pt>
                <c:pt idx="21">
                  <c:v>428.83373802844767</c:v>
                </c:pt>
                <c:pt idx="22">
                  <c:v>353.01275499314551</c:v>
                </c:pt>
                <c:pt idx="23">
                  <c:v>420.11646626538919</c:v>
                </c:pt>
                <c:pt idx="24">
                  <c:v>341.18886127682185</c:v>
                </c:pt>
                <c:pt idx="25">
                  <c:v>409.95165146139061</c:v>
                </c:pt>
                <c:pt idx="26">
                  <c:v>333.71264326838241</c:v>
                </c:pt>
                <c:pt idx="27">
                  <c:v>397.40839249632677</c:v>
                </c:pt>
                <c:pt idx="28">
                  <c:v>328.27555663165316</c:v>
                </c:pt>
                <c:pt idx="29">
                  <c:v>383.44600291894056</c:v>
                </c:pt>
                <c:pt idx="30">
                  <c:v>322.70147592424928</c:v>
                </c:pt>
                <c:pt idx="31">
                  <c:v>369.53276355277421</c:v>
                </c:pt>
                <c:pt idx="32">
                  <c:v>314.97630836422468</c:v>
                </c:pt>
                <c:pt idx="33">
                  <c:v>356.46620687151199</c:v>
                </c:pt>
                <c:pt idx="34">
                  <c:v>303.77686374990208</c:v>
                </c:pt>
                <c:pt idx="35">
                  <c:v>344.40561624831798</c:v>
                </c:pt>
                <c:pt idx="36">
                  <c:v>289.09630929581061</c:v>
                </c:pt>
                <c:pt idx="37">
                  <c:v>333.02667750270984</c:v>
                </c:pt>
                <c:pt idx="38">
                  <c:v>272.22615992829367</c:v>
                </c:pt>
                <c:pt idx="39">
                  <c:v>321.50517140949461</c:v>
                </c:pt>
                <c:pt idx="40">
                  <c:v>255.23289610515454</c:v>
                </c:pt>
                <c:pt idx="41">
                  <c:v>308.65842609744487</c:v>
                </c:pt>
                <c:pt idx="42">
                  <c:v>240.10166921727941</c:v>
                </c:pt>
                <c:pt idx="43">
                  <c:v>293.38249033890423</c:v>
                </c:pt>
                <c:pt idx="44">
                  <c:v>227.7701454456456</c:v>
                </c:pt>
                <c:pt idx="45">
                  <c:v>275.18034737348228</c:v>
                </c:pt>
                <c:pt idx="46">
                  <c:v>217.51361385375714</c:v>
                </c:pt>
                <c:pt idx="47">
                  <c:v>254.42046995746924</c:v>
                </c:pt>
                <c:pt idx="48">
                  <c:v>207.10008149525629</c:v>
                </c:pt>
                <c:pt idx="49">
                  <c:v>232.13853875629016</c:v>
                </c:pt>
                <c:pt idx="50">
                  <c:v>193.6538898818757</c:v>
                </c:pt>
                <c:pt idx="51">
                  <c:v>209.54373881662156</c:v>
                </c:pt>
                <c:pt idx="52">
                  <c:v>174.81007949369004</c:v>
                </c:pt>
                <c:pt idx="53">
                  <c:v>187.53159555094825</c:v>
                </c:pt>
                <c:pt idx="54">
                  <c:v>149.83741265073294</c:v>
                </c:pt>
                <c:pt idx="55">
                  <c:v>166.32347841659586</c:v>
                </c:pt>
                <c:pt idx="56">
                  <c:v>120.52969627228219</c:v>
                </c:pt>
                <c:pt idx="57">
                  <c:v>145.20977880055284</c:v>
                </c:pt>
                <c:pt idx="58">
                  <c:v>91.345166570307711</c:v>
                </c:pt>
                <c:pt idx="59">
                  <c:v>122.59001437469257</c:v>
                </c:pt>
                <c:pt idx="60">
                  <c:v>68.615381824341057</c:v>
                </c:pt>
                <c:pt idx="61">
                  <c:v>96.174529909494368</c:v>
                </c:pt>
                <c:pt idx="62">
                  <c:v>54.13417363795849</c:v>
                </c:pt>
                <c:pt idx="63">
                  <c:v>67.675730201052957</c:v>
                </c:pt>
                <c:pt idx="64">
                  <c:v>46.969097681867886</c:v>
                </c:pt>
                <c:pt idx="65">
                  <c:v>38.585339267593127</c:v>
                </c:pt>
                <c:pt idx="66">
                  <c:v>42.389218130474561</c:v>
                </c:pt>
                <c:pt idx="67">
                  <c:v>20.042712837647041</c:v>
                </c:pt>
                <c:pt idx="68">
                  <c:v>29.872425677881083</c:v>
                </c:pt>
                <c:pt idx="69">
                  <c:v>11.397147364387992</c:v>
                </c:pt>
                <c:pt idx="70">
                  <c:v>15.295751738460414</c:v>
                </c:pt>
                <c:pt idx="71">
                  <c:v>4.860710805244576</c:v>
                </c:pt>
                <c:pt idx="72">
                  <c:v>7.3081447877609644</c:v>
                </c:pt>
                <c:pt idx="73">
                  <c:v>2.0826052954296301</c:v>
                </c:pt>
                <c:pt idx="74">
                  <c:v>3.0654996496114104</c:v>
                </c:pt>
                <c:pt idx="75">
                  <c:v>0.86612379461962075</c:v>
                </c:pt>
                <c:pt idx="76">
                  <c:v>1.2153490912291152</c:v>
                </c:pt>
                <c:pt idx="77">
                  <c:v>0.33258542950799697</c:v>
                </c:pt>
                <c:pt idx="78">
                  <c:v>0.40193782061280059</c:v>
                </c:pt>
                <c:pt idx="79">
                  <c:v>8.7180276246097366E-2</c:v>
                </c:pt>
                <c:pt idx="80">
                  <c:v>8.6555110289518955E-2</c:v>
                </c:pt>
                <c:pt idx="81">
                  <c:v>1.7044423120768856E-2</c:v>
                </c:pt>
                <c:pt idx="82">
                  <c:v>1.5351488353110608E-2</c:v>
                </c:pt>
                <c:pt idx="83">
                  <c:v>2.7313105162657982E-3</c:v>
                </c:pt>
                <c:pt idx="84">
                  <c:v>2.194357946346189E-3</c:v>
                </c:pt>
                <c:pt idx="85">
                  <c:v>3.4834877374682915E-4</c:v>
                </c:pt>
                <c:pt idx="86">
                  <c:v>2.4203776153783611E-4</c:v>
                </c:pt>
                <c:pt idx="87">
                  <c:v>3.1627727668831224E-5</c:v>
                </c:pt>
                <c:pt idx="88">
                  <c:v>1.7334365685264507E-5</c:v>
                </c:pt>
                <c:pt idx="89">
                  <c:v>1.7200654410414955E-6</c:v>
                </c:pt>
                <c:pt idx="90">
                  <c:v>7.1581197698835279E-7</c:v>
                </c:pt>
                <c:pt idx="91">
                  <c:v>5.8103973031542008E-8</c:v>
                </c:pt>
                <c:pt idx="92">
                  <c:v>1.9957442601905523E-8</c:v>
                </c:pt>
                <c:pt idx="93">
                  <c:v>1.3432176523659813E-9</c:v>
                </c:pt>
                <c:pt idx="94">
                  <c:v>3.7050562861793047E-10</c:v>
                </c:pt>
                <c:pt idx="95">
                  <c:v>1.9954764008147474E-11</c:v>
                </c:pt>
                <c:pt idx="96">
                  <c:v>4.1552123728018335E-12</c:v>
                </c:pt>
                <c:pt idx="97">
                  <c:v>1.6471322650076277E-13</c:v>
                </c:pt>
                <c:pt idx="98">
                  <c:v>2.2781574261970867E-14</c:v>
                </c:pt>
                <c:pt idx="99">
                  <c:v>6.0237614673071275E-16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8E-BB47-BC14-9E97DEC7D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80032"/>
        <c:axId val="394381952"/>
      </c:scatterChart>
      <c:valAx>
        <c:axId val="394380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381952"/>
        <c:crosses val="autoZero"/>
        <c:crossBetween val="midCat"/>
      </c:valAx>
      <c:valAx>
        <c:axId val="3943819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38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43497295905228"/>
          <c:y val="9.961723096724949E-2"/>
          <c:w val="0.55485346381663658"/>
          <c:h val="0.63601770540628522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Sheet1!$N$27</c:f>
              <c:strCache>
                <c:ptCount val="1"/>
                <c:pt idx="0">
                  <c:v>Female #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Sheet1!$A$28:$A$127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Sheet1!$N$28:$N$127</c:f>
              <c:numCache>
                <c:formatCode>0</c:formatCode>
                <c:ptCount val="100"/>
                <c:pt idx="0">
                  <c:v>5112.6139955782919</c:v>
                </c:pt>
                <c:pt idx="1">
                  <c:v>4904.048543337507</c:v>
                </c:pt>
                <c:pt idx="2">
                  <c:v>4765.3917605979732</c:v>
                </c:pt>
                <c:pt idx="3">
                  <c:v>4594.9666994760419</c:v>
                </c:pt>
                <c:pt idx="4">
                  <c:v>4429.0405723668828</c:v>
                </c:pt>
                <c:pt idx="5">
                  <c:v>4283.9914057630958</c:v>
                </c:pt>
                <c:pt idx="6">
                  <c:v>4158.8451980305699</c:v>
                </c:pt>
                <c:pt idx="7">
                  <c:v>4026.4626637822048</c:v>
                </c:pt>
                <c:pt idx="8">
                  <c:v>3902.4420411301135</c:v>
                </c:pt>
                <c:pt idx="9">
                  <c:v>3790.109321626539</c:v>
                </c:pt>
                <c:pt idx="10">
                  <c:v>3686.8449008003336</c:v>
                </c:pt>
                <c:pt idx="11">
                  <c:v>3601.9769447281628</c:v>
                </c:pt>
                <c:pt idx="12">
                  <c:v>3519.3494357024201</c:v>
                </c:pt>
                <c:pt idx="13">
                  <c:v>3450.9364326249779</c:v>
                </c:pt>
                <c:pt idx="14">
                  <c:v>3383.7313420467067</c:v>
                </c:pt>
                <c:pt idx="15">
                  <c:v>3329.5484042123039</c:v>
                </c:pt>
                <c:pt idx="16">
                  <c:v>3271.1531532615227</c:v>
                </c:pt>
                <c:pt idx="17">
                  <c:v>3220.6354534455741</c:v>
                </c:pt>
                <c:pt idx="18">
                  <c:v>3162.8130325694819</c:v>
                </c:pt>
                <c:pt idx="19">
                  <c:v>3112.7589391708289</c:v>
                </c:pt>
                <c:pt idx="20">
                  <c:v>3059.3601230780469</c:v>
                </c:pt>
                <c:pt idx="21">
                  <c:v>3014.7868765725616</c:v>
                </c:pt>
                <c:pt idx="22">
                  <c:v>2969.3306397737033</c:v>
                </c:pt>
                <c:pt idx="23">
                  <c:v>2929.2896505470417</c:v>
                </c:pt>
                <c:pt idx="24">
                  <c:v>2887.9708974478526</c:v>
                </c:pt>
                <c:pt idx="25">
                  <c:v>2849.4303740112287</c:v>
                </c:pt>
                <c:pt idx="26">
                  <c:v>2809.750386591787</c:v>
                </c:pt>
                <c:pt idx="27">
                  <c:v>2772.3436583430084</c:v>
                </c:pt>
                <c:pt idx="28">
                  <c:v>2733.7571802431039</c:v>
                </c:pt>
                <c:pt idx="29">
                  <c:v>2697.8775124966901</c:v>
                </c:pt>
                <c:pt idx="30">
                  <c:v>2659.3924936473404</c:v>
                </c:pt>
                <c:pt idx="31">
                  <c:v>2623.626087803882</c:v>
                </c:pt>
                <c:pt idx="32">
                  <c:v>2583.0662367979339</c:v>
                </c:pt>
                <c:pt idx="33">
                  <c:v>2545.3281170099417</c:v>
                </c:pt>
                <c:pt idx="34">
                  <c:v>2501.254925574503</c:v>
                </c:pt>
                <c:pt idx="35">
                  <c:v>2460.2167468240268</c:v>
                </c:pt>
                <c:pt idx="36">
                  <c:v>2412.5309739647432</c:v>
                </c:pt>
                <c:pt idx="37">
                  <c:v>2367.7471777918659</c:v>
                </c:pt>
                <c:pt idx="38">
                  <c:v>2317.3216529485253</c:v>
                </c:pt>
                <c:pt idx="39">
                  <c:v>2269.0255512785347</c:v>
                </c:pt>
                <c:pt idx="40">
                  <c:v>2217.0767858839154</c:v>
                </c:pt>
                <c:pt idx="41">
                  <c:v>2165.9705633037943</c:v>
                </c:pt>
                <c:pt idx="42">
                  <c:v>2113.368186830955</c:v>
                </c:pt>
                <c:pt idx="43">
                  <c:v>2060.2294948689105</c:v>
                </c:pt>
                <c:pt idx="44">
                  <c:v>2006.884431905298</c:v>
                </c:pt>
                <c:pt idx="45">
                  <c:v>1951.9993265578391</c:v>
                </c:pt>
                <c:pt idx="46">
                  <c:v>1896.6336155615077</c:v>
                </c:pt>
                <c:pt idx="47">
                  <c:v>1839.3787750630877</c:v>
                </c:pt>
                <c:pt idx="48">
                  <c:v>1779.7968194328803</c:v>
                </c:pt>
                <c:pt idx="49">
                  <c:v>1718.6300277909911</c:v>
                </c:pt>
                <c:pt idx="50">
                  <c:v>1652.4046511132935</c:v>
                </c:pt>
                <c:pt idx="51">
                  <c:v>1585.3153192570139</c:v>
                </c:pt>
                <c:pt idx="52">
                  <c:v>1510.8009959437113</c:v>
                </c:pt>
                <c:pt idx="53">
                  <c:v>1436.1298074821557</c:v>
                </c:pt>
                <c:pt idx="54">
                  <c:v>1353.6019550946437</c:v>
                </c:pt>
                <c:pt idx="55">
                  <c:v>1271.0370595309828</c:v>
                </c:pt>
                <c:pt idx="56">
                  <c:v>1183.3430970189856</c:v>
                </c:pt>
                <c:pt idx="57">
                  <c:v>1094.7281271822919</c:v>
                </c:pt>
                <c:pt idx="58">
                  <c:v>1006.5601102785665</c:v>
                </c:pt>
                <c:pt idx="59">
                  <c:v>915.93909651610647</c:v>
                </c:pt>
                <c:pt idx="60">
                  <c:v>831.63478074720399</c:v>
                </c:pt>
                <c:pt idx="61">
                  <c:v>744.37150758654184</c:v>
                </c:pt>
                <c:pt idx="62">
                  <c:v>665.73007063959744</c:v>
                </c:pt>
                <c:pt idx="63">
                  <c:v>585.34535901377171</c:v>
                </c:pt>
                <c:pt idx="64">
                  <c:v>512.52258313262871</c:v>
                </c:pt>
                <c:pt idx="65">
                  <c:v>441.29833802035483</c:v>
                </c:pt>
                <c:pt idx="66">
                  <c:v>374.49190607809015</c:v>
                </c:pt>
                <c:pt idx="67">
                  <c:v>313.26608388849218</c:v>
                </c:pt>
                <c:pt idx="68">
                  <c:v>257.1627794507566</c:v>
                </c:pt>
                <c:pt idx="69">
                  <c:v>206.77469041394093</c:v>
                </c:pt>
                <c:pt idx="70">
                  <c:v>163.86719216217006</c:v>
                </c:pt>
                <c:pt idx="71">
                  <c:v>127.43758987639694</c:v>
                </c:pt>
                <c:pt idx="72">
                  <c:v>97.327389168215092</c:v>
                </c:pt>
                <c:pt idx="73">
                  <c:v>72.597785770758946</c:v>
                </c:pt>
                <c:pt idx="74">
                  <c:v>52.920210129825286</c:v>
                </c:pt>
                <c:pt idx="75">
                  <c:v>37.462966882304421</c:v>
                </c:pt>
                <c:pt idx="76">
                  <c:v>25.802826577261541</c:v>
                </c:pt>
                <c:pt idx="77">
                  <c:v>17.234631117652818</c:v>
                </c:pt>
                <c:pt idx="78">
                  <c:v>11.20884046564395</c:v>
                </c:pt>
                <c:pt idx="79">
                  <c:v>7.1522758650196465</c:v>
                </c:pt>
                <c:pt idx="80">
                  <c:v>4.5143519534361927</c:v>
                </c:pt>
                <c:pt idx="81">
                  <c:v>2.8004446728940096</c:v>
                </c:pt>
                <c:pt idx="82">
                  <c:v>1.7041646755035622</c:v>
                </c:pt>
                <c:pt idx="83">
                  <c:v>1.0067269995205732</c:v>
                </c:pt>
                <c:pt idx="84">
                  <c:v>0.57318826355786379</c:v>
                </c:pt>
                <c:pt idx="85">
                  <c:v>0.30948577351212114</c:v>
                </c:pt>
                <c:pt idx="86">
                  <c:v>0.15647471822270625</c:v>
                </c:pt>
                <c:pt idx="87">
                  <c:v>7.3545258457886731E-2</c:v>
                </c:pt>
                <c:pt idx="88">
                  <c:v>3.2554794512990447E-2</c:v>
                </c:pt>
                <c:pt idx="89">
                  <c:v>1.3721838211206448E-2</c:v>
                </c:pt>
                <c:pt idx="90">
                  <c:v>5.5243995228082968E-3</c:v>
                </c:pt>
                <c:pt idx="91">
                  <c:v>2.1156101600466786E-3</c:v>
                </c:pt>
                <c:pt idx="92">
                  <c:v>7.6765141816260345E-4</c:v>
                </c:pt>
                <c:pt idx="93">
                  <c:v>2.6218587358183557E-4</c:v>
                </c:pt>
                <c:pt idx="94">
                  <c:v>8.333287453671981E-5</c:v>
                </c:pt>
                <c:pt idx="95">
                  <c:v>2.4278076694081865E-5</c:v>
                </c:pt>
                <c:pt idx="96">
                  <c:v>6.3825147219379609E-6</c:v>
                </c:pt>
                <c:pt idx="97">
                  <c:v>1.5002605594899847E-6</c:v>
                </c:pt>
                <c:pt idx="98">
                  <c:v>3.1378060492866889E-7</c:v>
                </c:pt>
                <c:pt idx="99">
                  <c:v>5.9210438006517997E-8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99-5F47-A488-A3D65F310E7C}"/>
            </c:ext>
          </c:extLst>
        </c:ser>
        <c:ser>
          <c:idx val="1"/>
          <c:order val="1"/>
          <c:tx>
            <c:strRef>
              <c:f>Sheet1!$O$27</c:f>
              <c:strCache>
                <c:ptCount val="1"/>
                <c:pt idx="0">
                  <c:v>Male #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Sheet1!$A$28:$A$127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Sheet1!$O$28:$O$127</c:f>
              <c:numCache>
                <c:formatCode>0</c:formatCode>
                <c:ptCount val="100"/>
                <c:pt idx="0">
                  <c:v>4075.4495543757166</c:v>
                </c:pt>
                <c:pt idx="1">
                  <c:v>2848.7758273793825</c:v>
                </c:pt>
                <c:pt idx="2">
                  <c:v>2312.3291776148335</c:v>
                </c:pt>
                <c:pt idx="3">
                  <c:v>2257.9201904420679</c:v>
                </c:pt>
                <c:pt idx="4">
                  <c:v>2169.5515357597878</c:v>
                </c:pt>
                <c:pt idx="5">
                  <c:v>2204.9977000692525</c:v>
                </c:pt>
                <c:pt idx="6">
                  <c:v>2266.6839013070294</c:v>
                </c:pt>
                <c:pt idx="7">
                  <c:v>2225.5521948338496</c:v>
                </c:pt>
                <c:pt idx="8">
                  <c:v>2237.3303286360624</c:v>
                </c:pt>
                <c:pt idx="9">
                  <c:v>2190.0092383042456</c:v>
                </c:pt>
                <c:pt idx="10">
                  <c:v>2093.2769101589038</c:v>
                </c:pt>
                <c:pt idx="11">
                  <c:v>2008.8234585963532</c:v>
                </c:pt>
                <c:pt idx="12">
                  <c:v>1947.0861678589831</c:v>
                </c:pt>
                <c:pt idx="13">
                  <c:v>1952.8874592062864</c:v>
                </c:pt>
                <c:pt idx="14">
                  <c:v>1915.3635850958135</c:v>
                </c:pt>
                <c:pt idx="15">
                  <c:v>1947.9464095270437</c:v>
                </c:pt>
                <c:pt idx="16">
                  <c:v>1904.3317706273067</c:v>
                </c:pt>
                <c:pt idx="17">
                  <c:v>1926.7759880980716</c:v>
                </c:pt>
                <c:pt idx="18">
                  <c:v>1853.876841032707</c:v>
                </c:pt>
                <c:pt idx="19">
                  <c:v>1858.0605640675183</c:v>
                </c:pt>
                <c:pt idx="20">
                  <c:v>1794.5082283420595</c:v>
                </c:pt>
                <c:pt idx="21">
                  <c:v>1798.1414555138285</c:v>
                </c:pt>
                <c:pt idx="22">
                  <c:v>1753.4566790509195</c:v>
                </c:pt>
                <c:pt idx="23">
                  <c:v>1754.0778526797269</c:v>
                </c:pt>
                <c:pt idx="24">
                  <c:v>1722.3018891358518</c:v>
                </c:pt>
                <c:pt idx="25">
                  <c:v>1717.2458929104134</c:v>
                </c:pt>
                <c:pt idx="26">
                  <c:v>1690.308703067202</c:v>
                </c:pt>
                <c:pt idx="27">
                  <c:v>1680.6192205031743</c:v>
                </c:pt>
                <c:pt idx="28">
                  <c:v>1651.8560558277873</c:v>
                </c:pt>
                <c:pt idx="29">
                  <c:v>1640.1341657574881</c:v>
                </c:pt>
                <c:pt idx="30">
                  <c:v>1604.7102695428032</c:v>
                </c:pt>
                <c:pt idx="31">
                  <c:v>1592.6025749356991</c:v>
                </c:pt>
                <c:pt idx="32">
                  <c:v>1548.6794165001143</c:v>
                </c:pt>
                <c:pt idx="33">
                  <c:v>1536.5863030595201</c:v>
                </c:pt>
                <c:pt idx="34">
                  <c:v>1486.0974011876424</c:v>
                </c:pt>
                <c:pt idx="35">
                  <c:v>1473.4983221261045</c:v>
                </c:pt>
                <c:pt idx="36">
                  <c:v>1421.1098536361069</c:v>
                </c:pt>
                <c:pt idx="37">
                  <c:v>1406.7031608398654</c:v>
                </c:pt>
                <c:pt idx="38">
                  <c:v>1357.7298463396542</c:v>
                </c:pt>
                <c:pt idx="39">
                  <c:v>1339.7849577938296</c:v>
                </c:pt>
                <c:pt idx="40">
                  <c:v>1298.013080757315</c:v>
                </c:pt>
                <c:pt idx="41">
                  <c:v>1275.0187568998201</c:v>
                </c:pt>
                <c:pt idx="42">
                  <c:v>1240.9772282287822</c:v>
                </c:pt>
                <c:pt idx="43">
                  <c:v>1212.2755923852301</c:v>
                </c:pt>
                <c:pt idx="44">
                  <c:v>1182.597453786379</c:v>
                </c:pt>
                <c:pt idx="45">
                  <c:v>1148.6457508395697</c:v>
                </c:pt>
                <c:pt idx="46">
                  <c:v>1117.1118285212394</c:v>
                </c:pt>
                <c:pt idx="47">
                  <c:v>1079.1985093165154</c:v>
                </c:pt>
                <c:pt idx="48">
                  <c:v>1039.256813143099</c:v>
                </c:pt>
                <c:pt idx="49">
                  <c:v>998.77878547749992</c:v>
                </c:pt>
                <c:pt idx="50">
                  <c:v>946.45669359240765</c:v>
                </c:pt>
                <c:pt idx="51">
                  <c:v>904.14666354004714</c:v>
                </c:pt>
                <c:pt idx="52">
                  <c:v>840.17201838525489</c:v>
                </c:pt>
                <c:pt idx="53">
                  <c:v>795.71090110553371</c:v>
                </c:pt>
                <c:pt idx="54">
                  <c:v>726.13375695214393</c:v>
                </c:pt>
                <c:pt idx="55">
                  <c:v>678.3489554407746</c:v>
                </c:pt>
                <c:pt idx="56">
                  <c:v>613.16268317305344</c:v>
                </c:pt>
                <c:pt idx="57">
                  <c:v>560.7405533982901</c:v>
                </c:pt>
                <c:pt idx="58">
                  <c:v>509.95766783961278</c:v>
                </c:pt>
                <c:pt idx="59">
                  <c:v>452.46304987320167</c:v>
                </c:pt>
                <c:pt idx="60">
                  <c:v>420.27482754740902</c:v>
                </c:pt>
                <c:pt idx="61">
                  <c:v>360.29783379466272</c:v>
                </c:pt>
                <c:pt idx="62">
                  <c:v>339.28738339605627</c:v>
                </c:pt>
                <c:pt idx="63">
                  <c:v>279.51833940739857</c:v>
                </c:pt>
                <c:pt idx="64">
                  <c:v>257.95222763505467</c:v>
                </c:pt>
                <c:pt idx="65">
                  <c:v>205.52416023542088</c:v>
                </c:pt>
                <c:pt idx="66">
                  <c:v>171.84401925750291</c:v>
                </c:pt>
                <c:pt idx="67">
                  <c:v>133.95539749950478</c:v>
                </c:pt>
                <c:pt idx="68">
                  <c:v>101.9751161699033</c:v>
                </c:pt>
                <c:pt idx="69">
                  <c:v>70.841619808454169</c:v>
                </c:pt>
                <c:pt idx="70">
                  <c:v>55.445949213475828</c:v>
                </c:pt>
                <c:pt idx="71">
                  <c:v>40.200585044966665</c:v>
                </c:pt>
                <c:pt idx="72">
                  <c:v>32.970436453154527</c:v>
                </c:pt>
                <c:pt idx="73">
                  <c:v>25.075247876118798</c:v>
                </c:pt>
                <c:pt idx="74">
                  <c:v>21.282100991994888</c:v>
                </c:pt>
                <c:pt idx="75">
                  <c:v>16.78901189463641</c:v>
                </c:pt>
                <c:pt idx="76">
                  <c:v>13.384567046012029</c:v>
                </c:pt>
                <c:pt idx="77">
                  <c:v>8.9795412464263489</c:v>
                </c:pt>
                <c:pt idx="78">
                  <c:v>6.2694127115098226</c:v>
                </c:pt>
                <c:pt idx="79">
                  <c:v>4.0116401660678527</c:v>
                </c:pt>
                <c:pt idx="80">
                  <c:v>2.6576023918076834</c:v>
                </c:pt>
                <c:pt idx="81">
                  <c:v>1.6027713759930096</c:v>
                </c:pt>
                <c:pt idx="82">
                  <c:v>0.99667990941556239</c:v>
                </c:pt>
                <c:pt idx="83">
                  <c:v>0.5706866107537254</c:v>
                </c:pt>
                <c:pt idx="84">
                  <c:v>0.33292127067756883</c:v>
                </c:pt>
                <c:pt idx="85">
                  <c:v>0.17412591442711761</c:v>
                </c:pt>
                <c:pt idx="86">
                  <c:v>9.1057167171080977E-2</c:v>
                </c:pt>
                <c:pt idx="87">
                  <c:v>4.152421184567482E-2</c:v>
                </c:pt>
                <c:pt idx="88">
                  <c:v>1.8700230899854339E-2</c:v>
                </c:pt>
                <c:pt idx="89">
                  <c:v>7.7383938997085426E-3</c:v>
                </c:pt>
                <c:pt idx="90">
                  <c:v>3.1615383421055385E-3</c:v>
                </c:pt>
                <c:pt idx="91">
                  <c:v>1.196253044408103E-3</c:v>
                </c:pt>
                <c:pt idx="92">
                  <c:v>4.3660300700556261E-4</c:v>
                </c:pt>
                <c:pt idx="93">
                  <c:v>1.4882888473654815E-4</c:v>
                </c:pt>
                <c:pt idx="94">
                  <c:v>4.7093901943886715E-5</c:v>
                </c:pt>
                <c:pt idx="95">
                  <c:v>1.3941767485508402E-5</c:v>
                </c:pt>
                <c:pt idx="96">
                  <c:v>3.559431649817497E-6</c:v>
                </c:pt>
                <c:pt idx="97">
                  <c:v>8.7230027641068312E-7</c:v>
                </c:pt>
                <c:pt idx="98">
                  <c:v>1.7409820600254555E-7</c:v>
                </c:pt>
                <c:pt idx="99">
                  <c:v>3.3758406342178475E-8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99-5F47-A488-A3D65F310E7C}"/>
            </c:ext>
          </c:extLst>
        </c:ser>
        <c:ser>
          <c:idx val="2"/>
          <c:order val="2"/>
          <c:tx>
            <c:strRef>
              <c:f>Sheet1!$P$27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Sheet1!$A$28:$A$127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Sheet1!$P$28:$P$127</c:f>
              <c:numCache>
                <c:formatCode>0</c:formatCode>
                <c:ptCount val="100"/>
                <c:pt idx="0">
                  <c:v>9188.0635499540076</c:v>
                </c:pt>
                <c:pt idx="1">
                  <c:v>7752.8243707168895</c:v>
                </c:pt>
                <c:pt idx="2">
                  <c:v>7077.7209382128067</c:v>
                </c:pt>
                <c:pt idx="3">
                  <c:v>6852.8868899181098</c:v>
                </c:pt>
                <c:pt idx="4">
                  <c:v>6598.5921081266706</c:v>
                </c:pt>
                <c:pt idx="5">
                  <c:v>6488.9891058323483</c:v>
                </c:pt>
                <c:pt idx="6">
                  <c:v>6425.5290993375993</c:v>
                </c:pt>
                <c:pt idx="7">
                  <c:v>6252.014858616054</c:v>
                </c:pt>
                <c:pt idx="8">
                  <c:v>6139.7723697661759</c:v>
                </c:pt>
                <c:pt idx="9">
                  <c:v>5980.1185599307846</c:v>
                </c:pt>
                <c:pt idx="10">
                  <c:v>5780.1218109592373</c:v>
                </c:pt>
                <c:pt idx="11">
                  <c:v>5610.8004033245161</c:v>
                </c:pt>
                <c:pt idx="12">
                  <c:v>5466.4356035614037</c:v>
                </c:pt>
                <c:pt idx="13">
                  <c:v>5403.8238918312645</c:v>
                </c:pt>
                <c:pt idx="14">
                  <c:v>5299.0949271425197</c:v>
                </c:pt>
                <c:pt idx="15">
                  <c:v>5277.4948137393476</c:v>
                </c:pt>
                <c:pt idx="16">
                  <c:v>5175.4849238888291</c:v>
                </c:pt>
                <c:pt idx="17">
                  <c:v>5147.4114415436452</c:v>
                </c:pt>
                <c:pt idx="18">
                  <c:v>5016.6898736021885</c:v>
                </c:pt>
                <c:pt idx="19">
                  <c:v>4970.8195032383474</c:v>
                </c:pt>
                <c:pt idx="20">
                  <c:v>4853.8683514201066</c:v>
                </c:pt>
                <c:pt idx="21">
                  <c:v>4812.9283320863906</c:v>
                </c:pt>
                <c:pt idx="22">
                  <c:v>4722.7873188246231</c:v>
                </c:pt>
                <c:pt idx="23">
                  <c:v>4683.3675032267683</c:v>
                </c:pt>
                <c:pt idx="24">
                  <c:v>4610.2727865837041</c:v>
                </c:pt>
                <c:pt idx="25">
                  <c:v>4566.6762669216423</c:v>
                </c:pt>
                <c:pt idx="26">
                  <c:v>4500.0590896589893</c:v>
                </c:pt>
                <c:pt idx="27">
                  <c:v>4452.9628788461832</c:v>
                </c:pt>
                <c:pt idx="28">
                  <c:v>4385.6132360708907</c:v>
                </c:pt>
                <c:pt idx="29">
                  <c:v>4338.0116782541782</c:v>
                </c:pt>
                <c:pt idx="30">
                  <c:v>4264.1027631901434</c:v>
                </c:pt>
                <c:pt idx="31">
                  <c:v>4216.2286627395806</c:v>
                </c:pt>
                <c:pt idx="32">
                  <c:v>4131.7456532980486</c:v>
                </c:pt>
                <c:pt idx="33">
                  <c:v>4081.9144200694618</c:v>
                </c:pt>
                <c:pt idx="34">
                  <c:v>3987.3523267621454</c:v>
                </c:pt>
                <c:pt idx="35">
                  <c:v>3933.7150689501314</c:v>
                </c:pt>
                <c:pt idx="36">
                  <c:v>3833.6408276008501</c:v>
                </c:pt>
                <c:pt idx="37">
                  <c:v>3774.450338631731</c:v>
                </c:pt>
                <c:pt idx="38">
                  <c:v>3675.0514992881795</c:v>
                </c:pt>
                <c:pt idx="39">
                  <c:v>3608.8105090723643</c:v>
                </c:pt>
                <c:pt idx="40">
                  <c:v>3515.0898666412304</c:v>
                </c:pt>
                <c:pt idx="41">
                  <c:v>3440.9893202036146</c:v>
                </c:pt>
                <c:pt idx="42">
                  <c:v>3354.3454150597372</c:v>
                </c:pt>
                <c:pt idx="43">
                  <c:v>3272.5050872541406</c:v>
                </c:pt>
                <c:pt idx="44">
                  <c:v>3189.4818856916772</c:v>
                </c:pt>
                <c:pt idx="45">
                  <c:v>3100.6450773974088</c:v>
                </c:pt>
                <c:pt idx="46">
                  <c:v>3013.7454440827469</c:v>
                </c:pt>
                <c:pt idx="47">
                  <c:v>2918.577284379603</c:v>
                </c:pt>
                <c:pt idx="48">
                  <c:v>2819.0536325759795</c:v>
                </c:pt>
                <c:pt idx="49">
                  <c:v>2717.408813268491</c:v>
                </c:pt>
                <c:pt idx="50">
                  <c:v>2598.8613447057014</c:v>
                </c:pt>
                <c:pt idx="51">
                  <c:v>2489.461982797061</c:v>
                </c:pt>
                <c:pt idx="52">
                  <c:v>2350.9730143289662</c:v>
                </c:pt>
                <c:pt idx="53">
                  <c:v>2231.8407085876893</c:v>
                </c:pt>
                <c:pt idx="54">
                  <c:v>2079.7357120467877</c:v>
                </c:pt>
                <c:pt idx="55">
                  <c:v>1949.3860149717575</c:v>
                </c:pt>
                <c:pt idx="56">
                  <c:v>1796.5057801920391</c:v>
                </c:pt>
                <c:pt idx="57">
                  <c:v>1655.468680580582</c:v>
                </c:pt>
                <c:pt idx="58">
                  <c:v>1516.5177781181792</c:v>
                </c:pt>
                <c:pt idx="59">
                  <c:v>1368.4021463893082</c:v>
                </c:pt>
                <c:pt idx="60">
                  <c:v>1251.909608294613</c:v>
                </c:pt>
                <c:pt idx="61">
                  <c:v>1104.6693413812045</c:v>
                </c:pt>
                <c:pt idx="62">
                  <c:v>1005.0174540356537</c:v>
                </c:pt>
                <c:pt idx="63">
                  <c:v>864.86369842117028</c:v>
                </c:pt>
                <c:pt idx="64">
                  <c:v>770.47481076768338</c:v>
                </c:pt>
                <c:pt idx="65">
                  <c:v>646.82249825577571</c:v>
                </c:pt>
                <c:pt idx="66">
                  <c:v>546.33592533559306</c:v>
                </c:pt>
                <c:pt idx="67">
                  <c:v>447.22148138799696</c:v>
                </c:pt>
                <c:pt idx="68">
                  <c:v>359.13789562065989</c:v>
                </c:pt>
                <c:pt idx="69">
                  <c:v>277.6163102223951</c:v>
                </c:pt>
                <c:pt idx="70">
                  <c:v>219.3131413756459</c:v>
                </c:pt>
                <c:pt idx="71">
                  <c:v>167.6381749213636</c:v>
                </c:pt>
                <c:pt idx="72">
                  <c:v>130.29782562136961</c:v>
                </c:pt>
                <c:pt idx="73">
                  <c:v>97.673033646877741</c:v>
                </c:pt>
                <c:pt idx="74">
                  <c:v>74.202311121820173</c:v>
                </c:pt>
                <c:pt idx="75">
                  <c:v>54.251978776940831</c:v>
                </c:pt>
                <c:pt idx="76">
                  <c:v>39.187393623273572</c:v>
                </c:pt>
                <c:pt idx="77">
                  <c:v>26.214172364079168</c:v>
                </c:pt>
                <c:pt idx="78">
                  <c:v>17.478253177153775</c:v>
                </c:pt>
                <c:pt idx="79">
                  <c:v>11.163916031087499</c:v>
                </c:pt>
                <c:pt idx="80">
                  <c:v>7.1719543452438757</c:v>
                </c:pt>
                <c:pt idx="81">
                  <c:v>4.4032160488870193</c:v>
                </c:pt>
                <c:pt idx="82">
                  <c:v>2.7008445849191247</c:v>
                </c:pt>
                <c:pt idx="83">
                  <c:v>1.5774136102742986</c:v>
                </c:pt>
                <c:pt idx="84">
                  <c:v>0.90610953423543261</c:v>
                </c:pt>
                <c:pt idx="85">
                  <c:v>0.48361168793923875</c:v>
                </c:pt>
                <c:pt idx="86">
                  <c:v>0.24753188539378723</c:v>
                </c:pt>
                <c:pt idx="87">
                  <c:v>0.11506947030356154</c:v>
                </c:pt>
                <c:pt idx="88">
                  <c:v>5.1255025412844782E-2</c:v>
                </c:pt>
                <c:pt idx="89">
                  <c:v>2.1460232110914992E-2</c:v>
                </c:pt>
                <c:pt idx="90">
                  <c:v>8.6859378649138362E-3</c:v>
                </c:pt>
                <c:pt idx="91">
                  <c:v>3.3118632044547816E-3</c:v>
                </c:pt>
                <c:pt idx="92">
                  <c:v>1.204254425168166E-3</c:v>
                </c:pt>
                <c:pt idx="93">
                  <c:v>4.1101475831838369E-4</c:v>
                </c:pt>
                <c:pt idx="94">
                  <c:v>1.3042677648060654E-4</c:v>
                </c:pt>
                <c:pt idx="95">
                  <c:v>3.8219844179590267E-5</c:v>
                </c:pt>
                <c:pt idx="96">
                  <c:v>9.9419463717554588E-6</c:v>
                </c:pt>
                <c:pt idx="97">
                  <c:v>2.3725608359006678E-6</c:v>
                </c:pt>
                <c:pt idx="98">
                  <c:v>4.8787881093121449E-7</c:v>
                </c:pt>
                <c:pt idx="99">
                  <c:v>9.2968844348696472E-8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99-5F47-A488-A3D65F31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15264"/>
        <c:axId val="394317184"/>
      </c:scatterChart>
      <c:valAx>
        <c:axId val="394315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Time, Yrs</a:t>
                </a:r>
              </a:p>
            </c:rich>
          </c:tx>
          <c:layout>
            <c:manualLayout>
              <c:xMode val="edge"/>
              <c:yMode val="edge"/>
              <c:x val="0.39240594925634292"/>
              <c:y val="0.85440954027088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317184"/>
        <c:crosses val="autoZero"/>
        <c:crossBetween val="midCat"/>
      </c:valAx>
      <c:valAx>
        <c:axId val="394317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Population</a:t>
                </a:r>
              </a:p>
            </c:rich>
          </c:tx>
          <c:layout>
            <c:manualLayout>
              <c:xMode val="edge"/>
              <c:yMode val="edge"/>
              <c:x val="3.3755274261603373E-2"/>
              <c:y val="0.27969455037632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315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27019723800348"/>
          <c:y val="0.30313588850174217"/>
          <c:w val="0.20042238391087186"/>
          <c:h val="0.2369337979094076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Sheet1!$S$15:$S$30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Sheet1!$U$15:$U$30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</c:v>
                </c:pt>
                <c:pt idx="7">
                  <c:v>80</c:v>
                </c:pt>
                <c:pt idx="8">
                  <c:v>210</c:v>
                </c:pt>
                <c:pt idx="9">
                  <c:v>375</c:v>
                </c:pt>
                <c:pt idx="10">
                  <c:v>620</c:v>
                </c:pt>
                <c:pt idx="11">
                  <c:v>1250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7C-C848-A9EA-7F0EFE09B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52480"/>
        <c:axId val="44806256"/>
      </c:lineChar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 cap="rnd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Sheet1!$S$15:$S$30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xVal>
          <c:yVal>
            <c:numRef>
              <c:f>Sheet1!$T$15:$T$30</c:f>
              <c:numCache>
                <c:formatCode>General</c:formatCode>
                <c:ptCount val="16"/>
                <c:pt idx="0">
                  <c:v>1.5</c:v>
                </c:pt>
                <c:pt idx="1">
                  <c:v>1.6</c:v>
                </c:pt>
                <c:pt idx="2">
                  <c:v>1.7</c:v>
                </c:pt>
                <c:pt idx="3">
                  <c:v>1.8</c:v>
                </c:pt>
                <c:pt idx="4">
                  <c:v>1.9</c:v>
                </c:pt>
                <c:pt idx="5">
                  <c:v>2</c:v>
                </c:pt>
                <c:pt idx="6">
                  <c:v>2.1</c:v>
                </c:pt>
                <c:pt idx="7">
                  <c:v>2.2000000000000002</c:v>
                </c:pt>
                <c:pt idx="8">
                  <c:v>2.2999999999999998</c:v>
                </c:pt>
                <c:pt idx="9">
                  <c:v>2.4</c:v>
                </c:pt>
                <c:pt idx="10">
                  <c:v>2.5</c:v>
                </c:pt>
                <c:pt idx="11">
                  <c:v>2.6</c:v>
                </c:pt>
                <c:pt idx="12">
                  <c:v>2.7</c:v>
                </c:pt>
                <c:pt idx="13">
                  <c:v>2.8</c:v>
                </c:pt>
                <c:pt idx="14">
                  <c:v>2.9</c:v>
                </c:pt>
                <c:pt idx="15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C-C848-A9EA-7F0EFE09B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20080"/>
        <c:axId val="9515152"/>
      </c:scatterChart>
      <c:valAx>
        <c:axId val="930200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515152"/>
        <c:crosses val="autoZero"/>
        <c:crossBetween val="midCat"/>
      </c:valAx>
      <c:valAx>
        <c:axId val="951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0080"/>
        <c:crosses val="autoZero"/>
        <c:crossBetween val="midCat"/>
      </c:valAx>
      <c:valAx>
        <c:axId val="4480625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2480"/>
        <c:crosses val="max"/>
        <c:crossBetween val="between"/>
      </c:valAx>
      <c:catAx>
        <c:axId val="44852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806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9250567987301984E-2"/>
          <c:y val="7.60284880120322E-2"/>
          <c:w val="0.32466559149985769"/>
          <c:h val="0.1874225306816885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Sheet2!$B$15</c:f>
              <c:strCache>
                <c:ptCount val="1"/>
                <c:pt idx="0">
                  <c:v>Harvest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Sheet2!$A$16:$A$21</c:f>
              <c:numCache>
                <c:formatCode>General</c:formatCode>
                <c:ptCount val="6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20000</c:v>
                </c:pt>
                <c:pt idx="4">
                  <c:v>40000</c:v>
                </c:pt>
                <c:pt idx="5">
                  <c:v>60000</c:v>
                </c:pt>
              </c:numCache>
            </c:numRef>
          </c:xVal>
          <c:yVal>
            <c:numRef>
              <c:f>Sheet2!$B$16:$B$21</c:f>
              <c:numCache>
                <c:formatCode>General</c:formatCode>
                <c:ptCount val="6"/>
                <c:pt idx="0">
                  <c:v>770.16777752240864</c:v>
                </c:pt>
                <c:pt idx="1">
                  <c:v>2006.3465453239132</c:v>
                </c:pt>
                <c:pt idx="2">
                  <c:v>2509.9243502359373</c:v>
                </c:pt>
                <c:pt idx="3">
                  <c:v>2870.1126290094644</c:v>
                </c:pt>
                <c:pt idx="4">
                  <c:v>3091.9701967659339</c:v>
                </c:pt>
                <c:pt idx="5">
                  <c:v>3173.7462707770992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6-9648-9383-27DBF6AE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46976"/>
        <c:axId val="393248768"/>
      </c:scatterChart>
      <c:valAx>
        <c:axId val="39324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3248768"/>
        <c:crosses val="autoZero"/>
        <c:crossBetween val="midCat"/>
      </c:valAx>
      <c:valAx>
        <c:axId val="39324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69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046502098630072"/>
          <c:y val="3.831417624521072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93690445531805E-2"/>
          <c:y val="0.22605448565645075"/>
          <c:w val="0.73628843677568889"/>
          <c:h val="0.60153481776377571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Sheet3!$B$20</c:f>
              <c:strCache>
                <c:ptCount val="1"/>
                <c:pt idx="0">
                  <c:v>Mod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Sheet3!$A$21:$A$26</c:f>
              <c:numCache>
                <c:formatCode>General</c:formatCode>
                <c:ptCount val="6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</c:numCache>
            </c:numRef>
          </c:xVal>
          <c:yVal>
            <c:numRef>
              <c:f>Sheet3!$B$21:$B$26</c:f>
              <c:numCache>
                <c:formatCode>General</c:formatCode>
                <c:ptCount val="6"/>
                <c:pt idx="0">
                  <c:v>1.25</c:v>
                </c:pt>
                <c:pt idx="1">
                  <c:v>1</c:v>
                </c:pt>
                <c:pt idx="2">
                  <c:v>0.75</c:v>
                </c:pt>
                <c:pt idx="3">
                  <c:v>0.5</c:v>
                </c:pt>
                <c:pt idx="4">
                  <c:v>0.25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DC-CD48-A683-21E8EC92D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10720"/>
        <c:axId val="394512640"/>
      </c:scatterChart>
      <c:valAx>
        <c:axId val="39451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2640"/>
        <c:crosses val="autoZero"/>
        <c:crossBetween val="midCat"/>
      </c:valAx>
      <c:valAx>
        <c:axId val="394512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07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029713058019644"/>
          <c:y val="0.48659204955702373"/>
          <c:w val="9.4936930352060411E-2"/>
          <c:h val="8.4291589988033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101600</xdr:rowOff>
        </xdr:from>
        <xdr:to>
          <xdr:col>7</xdr:col>
          <xdr:colOff>431800</xdr:colOff>
          <xdr:row>8</xdr:row>
          <xdr:rowOff>292100</xdr:rowOff>
        </xdr:to>
        <xdr:sp macro="" textlink="">
          <xdr:nvSpPr>
            <xdr:cNvPr id="1026" name="Button 2" descr="Run Mode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463550</xdr:colOff>
      <xdr:row>11</xdr:row>
      <xdr:rowOff>88900</xdr:rowOff>
    </xdr:from>
    <xdr:to>
      <xdr:col>17</xdr:col>
      <xdr:colOff>342900</xdr:colOff>
      <xdr:row>24</xdr:row>
      <xdr:rowOff>101600</xdr:rowOff>
    </xdr:to>
    <xdr:graphicFrame macro="">
      <xdr:nvGraphicFramePr>
        <xdr:cNvPr id="1070" name="Chart 3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558800</xdr:colOff>
      <xdr:row>11</xdr:row>
      <xdr:rowOff>101600</xdr:rowOff>
    </xdr:to>
    <xdr:graphicFrame macro="">
      <xdr:nvGraphicFramePr>
        <xdr:cNvPr id="1071" name="Chart 4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431800</xdr:colOff>
      <xdr:row>26</xdr:row>
      <xdr:rowOff>88900</xdr:rowOff>
    </xdr:from>
    <xdr:to>
      <xdr:col>29</xdr:col>
      <xdr:colOff>355600</xdr:colOff>
      <xdr:row>47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12</xdr:row>
      <xdr:rowOff>19050</xdr:rowOff>
    </xdr:from>
    <xdr:to>
      <xdr:col>14</xdr:col>
      <xdr:colOff>495300</xdr:colOff>
      <xdr:row>28</xdr:row>
      <xdr:rowOff>85725</xdr:rowOff>
    </xdr:to>
    <xdr:graphicFrame macro="">
      <xdr:nvGraphicFramePr>
        <xdr:cNvPr id="30731" name="Chart 1">
          <a:extLst>
            <a:ext uri="{FF2B5EF4-FFF2-40B4-BE49-F238E27FC236}">
              <a16:creationId xmlns:a16="http://schemas.microsoft.com/office/drawing/2014/main" id="{00000000-0008-0000-0100-00000B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14</xdr:row>
      <xdr:rowOff>104775</xdr:rowOff>
    </xdr:from>
    <xdr:to>
      <xdr:col>11</xdr:col>
      <xdr:colOff>285750</xdr:colOff>
      <xdr:row>30</xdr:row>
      <xdr:rowOff>0</xdr:rowOff>
    </xdr:to>
    <xdr:graphicFrame macro="">
      <xdr:nvGraphicFramePr>
        <xdr:cNvPr id="2070" name="Chart 1">
          <a:extLst>
            <a:ext uri="{FF2B5EF4-FFF2-40B4-BE49-F238E27FC236}">
              <a16:creationId xmlns:a16="http://schemas.microsoft.com/office/drawing/2014/main" id="{00000000-0008-0000-0200-00001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42"/>
  <sheetViews>
    <sheetView tabSelected="1" topLeftCell="A29" workbookViewId="0">
      <selection activeCell="O112" sqref="O112"/>
    </sheetView>
  </sheetViews>
  <sheetFormatPr baseColWidth="10" defaultColWidth="8.83203125" defaultRowHeight="13" x14ac:dyDescent="0.15"/>
  <cols>
    <col min="14" max="15" width="8.83203125" style="15"/>
    <col min="20" max="20" width="8.83203125" style="9"/>
  </cols>
  <sheetData>
    <row r="1" spans="1:52" ht="18" x14ac:dyDescent="0.2">
      <c r="A1" s="7" t="s">
        <v>36</v>
      </c>
      <c r="T1" s="10" t="s">
        <v>40</v>
      </c>
      <c r="U1" s="10" t="s">
        <v>43</v>
      </c>
      <c r="V1" s="10" t="s">
        <v>44</v>
      </c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</row>
    <row r="2" spans="1:52" x14ac:dyDescent="0.15">
      <c r="T2" s="9">
        <v>620</v>
      </c>
      <c r="U2" s="10"/>
      <c r="V2" s="10"/>
      <c r="W2" s="10"/>
      <c r="X2" s="10"/>
      <c r="Y2" s="12"/>
      <c r="Z2" s="12"/>
      <c r="AA2" s="12"/>
      <c r="AB2" s="10"/>
      <c r="AC2" s="10"/>
      <c r="AD2" s="10"/>
      <c r="AE2" s="10"/>
      <c r="AF2" s="10"/>
      <c r="AG2" s="10"/>
      <c r="AH2" s="10"/>
      <c r="AI2" s="10"/>
      <c r="AZ2" s="6"/>
    </row>
    <row r="3" spans="1:52" x14ac:dyDescent="0.15">
      <c r="T3" s="9">
        <v>630</v>
      </c>
      <c r="Y3" s="12"/>
      <c r="Z3" s="12"/>
      <c r="AA3" s="12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15">
      <c r="A4" s="6" t="s">
        <v>39</v>
      </c>
      <c r="D4">
        <v>2.5</v>
      </c>
      <c r="T4" s="9">
        <v>640</v>
      </c>
      <c r="Y4" s="12"/>
      <c r="Z4" s="12"/>
      <c r="AA4" s="12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15">
      <c r="T5" s="9">
        <v>650</v>
      </c>
      <c r="Y5" s="12"/>
      <c r="Z5" s="12"/>
      <c r="AA5" s="12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15">
      <c r="A6" s="6" t="s">
        <v>35</v>
      </c>
      <c r="C6">
        <v>5000</v>
      </c>
      <c r="T6" s="9">
        <v>660</v>
      </c>
      <c r="Y6" s="12"/>
      <c r="Z6" s="12"/>
      <c r="AA6" s="12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15">
      <c r="T7" s="9">
        <v>670</v>
      </c>
      <c r="Y7" s="12"/>
      <c r="Z7" s="12"/>
      <c r="AA7" s="12"/>
    </row>
    <row r="8" spans="1:52" ht="14" thickBot="1" x14ac:dyDescent="0.2">
      <c r="A8" s="2"/>
      <c r="B8" s="2"/>
      <c r="C8" s="2"/>
      <c r="T8" s="9">
        <v>680</v>
      </c>
      <c r="Y8" s="12"/>
      <c r="Z8" s="12"/>
      <c r="AA8" s="12"/>
    </row>
    <row r="9" spans="1:52" ht="13" customHeight="1" thickTop="1" x14ac:dyDescent="0.15">
      <c r="A9" s="4" t="s">
        <v>24</v>
      </c>
      <c r="B9" s="4" t="s">
        <v>25</v>
      </c>
      <c r="C9" s="8" t="s">
        <v>41</v>
      </c>
      <c r="D9" s="4" t="s">
        <v>26</v>
      </c>
      <c r="E9" s="4" t="s">
        <v>27</v>
      </c>
      <c r="F9" s="8" t="s">
        <v>42</v>
      </c>
      <c r="T9" s="9">
        <v>690</v>
      </c>
      <c r="Y9" s="12"/>
      <c r="Z9" s="12"/>
      <c r="AA9" s="12"/>
    </row>
    <row r="10" spans="1:52" ht="14" thickBot="1" x14ac:dyDescent="0.2">
      <c r="A10" s="5"/>
      <c r="B10" s="5" t="s">
        <v>18</v>
      </c>
      <c r="C10" s="5" t="s">
        <v>19</v>
      </c>
      <c r="D10" s="5" t="s">
        <v>20</v>
      </c>
      <c r="E10" s="5" t="s">
        <v>22</v>
      </c>
      <c r="F10" s="5" t="s">
        <v>23</v>
      </c>
      <c r="T10" s="9">
        <v>700</v>
      </c>
      <c r="Y10" s="12"/>
      <c r="Z10" s="12"/>
      <c r="AA10" s="12"/>
    </row>
    <row r="11" spans="1:52" ht="15" thickTop="1" thickBot="1" x14ac:dyDescent="0.2">
      <c r="A11" s="3">
        <v>0</v>
      </c>
      <c r="B11" s="3">
        <v>0.62</v>
      </c>
      <c r="C11" s="3">
        <v>0</v>
      </c>
      <c r="D11" s="3">
        <v>1000</v>
      </c>
      <c r="E11" s="3">
        <v>1000</v>
      </c>
      <c r="F11" s="3">
        <v>0</v>
      </c>
      <c r="Y11" s="12"/>
      <c r="Z11" s="12"/>
      <c r="AA11" s="12"/>
    </row>
    <row r="12" spans="1:52" ht="15" thickTop="1" thickBot="1" x14ac:dyDescent="0.2">
      <c r="A12" s="3">
        <v>1</v>
      </c>
      <c r="B12" s="3">
        <v>0.87</v>
      </c>
      <c r="C12" s="3">
        <v>0.5</v>
      </c>
      <c r="D12" s="3">
        <v>620</v>
      </c>
      <c r="E12" s="3">
        <v>694</v>
      </c>
      <c r="F12" s="3">
        <v>0.8</v>
      </c>
      <c r="T12" s="14"/>
      <c r="U12" s="18"/>
      <c r="V12" s="18"/>
      <c r="W12" s="18"/>
      <c r="X12" s="18"/>
      <c r="Y12" s="18"/>
      <c r="Z12" s="18"/>
    </row>
    <row r="13" spans="1:52" ht="15" thickTop="1" thickBot="1" x14ac:dyDescent="0.2">
      <c r="A13" s="3">
        <v>2</v>
      </c>
      <c r="B13" s="3">
        <v>0.88</v>
      </c>
      <c r="C13" s="3">
        <v>0.6</v>
      </c>
      <c r="D13" s="3">
        <v>539</v>
      </c>
      <c r="E13" s="3">
        <v>543</v>
      </c>
      <c r="F13" s="3">
        <v>0.89</v>
      </c>
      <c r="T13" s="14"/>
      <c r="U13" s="14"/>
      <c r="V13" s="14"/>
      <c r="W13" s="14"/>
      <c r="X13" s="14"/>
      <c r="Y13" s="14"/>
      <c r="Z13" s="14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ht="15" thickTop="1" thickBot="1" x14ac:dyDescent="0.2">
      <c r="A14" s="3">
        <v>3</v>
      </c>
      <c r="B14" s="3">
        <v>0.89</v>
      </c>
      <c r="C14" s="3">
        <v>0.63</v>
      </c>
      <c r="D14" s="3">
        <v>474</v>
      </c>
      <c r="E14" s="3">
        <v>406</v>
      </c>
      <c r="F14" s="3">
        <v>0.92</v>
      </c>
      <c r="T14" s="11" t="s">
        <v>45</v>
      </c>
      <c r="U14" s="6" t="s">
        <v>46</v>
      </c>
      <c r="W14" s="13"/>
      <c r="X14" s="13"/>
      <c r="Y14" s="13"/>
      <c r="Z14" s="13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ht="15" thickTop="1" thickBot="1" x14ac:dyDescent="0.2">
      <c r="A15" s="3">
        <v>4</v>
      </c>
      <c r="B15" s="3">
        <v>0.9</v>
      </c>
      <c r="C15" s="3">
        <v>0.66</v>
      </c>
      <c r="D15" s="3">
        <v>422</v>
      </c>
      <c r="E15" s="3">
        <v>289</v>
      </c>
      <c r="F15" s="3">
        <v>0.95</v>
      </c>
      <c r="S15">
        <v>1</v>
      </c>
      <c r="T15" s="9">
        <v>1.5</v>
      </c>
      <c r="U15" s="13">
        <v>0</v>
      </c>
      <c r="V15" s="13"/>
      <c r="W15" s="13"/>
      <c r="X15" s="13"/>
      <c r="Y15" s="13"/>
      <c r="Z15" s="13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ht="15" thickTop="1" thickBot="1" x14ac:dyDescent="0.2">
      <c r="A16" s="3">
        <v>5</v>
      </c>
      <c r="B16" s="3">
        <v>0.88</v>
      </c>
      <c r="C16" s="3">
        <v>0.68</v>
      </c>
      <c r="D16" s="3">
        <v>380</v>
      </c>
      <c r="E16" s="3">
        <v>195</v>
      </c>
      <c r="F16" s="3">
        <v>0.98</v>
      </c>
      <c r="S16">
        <v>2</v>
      </c>
      <c r="T16" s="9">
        <v>1.6</v>
      </c>
      <c r="U16" s="13">
        <v>0</v>
      </c>
      <c r="V16" s="13"/>
      <c r="W16" s="13"/>
      <c r="X16" s="13"/>
      <c r="Y16" s="13"/>
      <c r="Z16" s="13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26" ht="15" thickTop="1" thickBot="1" x14ac:dyDescent="0.2">
      <c r="A17" s="3">
        <v>6</v>
      </c>
      <c r="B17" s="3">
        <v>0.86</v>
      </c>
      <c r="C17" s="3">
        <v>0.7</v>
      </c>
      <c r="D17" s="3">
        <v>334</v>
      </c>
      <c r="E17" s="3">
        <v>120</v>
      </c>
      <c r="F17" s="3">
        <v>0.99</v>
      </c>
      <c r="S17">
        <v>3</v>
      </c>
      <c r="T17" s="9">
        <v>1.7</v>
      </c>
      <c r="U17" s="13">
        <v>0</v>
      </c>
      <c r="V17" s="13"/>
      <c r="W17" s="13"/>
      <c r="X17" s="13"/>
      <c r="Y17" s="13"/>
      <c r="Z17" s="13"/>
    </row>
    <row r="18" spans="1:26" ht="15" thickTop="1" thickBot="1" x14ac:dyDescent="0.2">
      <c r="A18" s="3">
        <v>7</v>
      </c>
      <c r="B18" s="3">
        <v>0.78</v>
      </c>
      <c r="C18" s="3">
        <v>0.68</v>
      </c>
      <c r="D18" s="3">
        <v>287</v>
      </c>
      <c r="E18" s="3">
        <v>62</v>
      </c>
      <c r="F18" s="3">
        <v>0.99</v>
      </c>
      <c r="S18">
        <v>4</v>
      </c>
      <c r="T18" s="9">
        <v>1.8</v>
      </c>
      <c r="U18" s="13">
        <v>0</v>
      </c>
      <c r="V18" s="13"/>
      <c r="W18" s="13"/>
      <c r="X18" s="13"/>
      <c r="Y18" s="13"/>
      <c r="Z18" s="13"/>
    </row>
    <row r="19" spans="1:26" ht="15" thickTop="1" thickBot="1" x14ac:dyDescent="0.2">
      <c r="A19" s="3">
        <v>8</v>
      </c>
      <c r="B19" s="3">
        <v>0.62</v>
      </c>
      <c r="C19" s="3">
        <v>0.6</v>
      </c>
      <c r="D19" s="3">
        <v>224</v>
      </c>
      <c r="E19" s="3">
        <v>29</v>
      </c>
      <c r="F19" s="3">
        <v>0.99</v>
      </c>
      <c r="S19">
        <v>5</v>
      </c>
      <c r="T19" s="9">
        <v>1.9</v>
      </c>
      <c r="U19" s="13">
        <v>0</v>
      </c>
      <c r="V19" s="13"/>
      <c r="W19" s="13"/>
      <c r="X19" s="13"/>
      <c r="Y19" s="13"/>
      <c r="Z19" s="13"/>
    </row>
    <row r="20" spans="1:26" ht="15" thickTop="1" thickBot="1" x14ac:dyDescent="0.2">
      <c r="A20" s="3">
        <v>9</v>
      </c>
      <c r="B20" s="3">
        <v>0.3</v>
      </c>
      <c r="C20" s="3">
        <v>0.5</v>
      </c>
      <c r="D20" s="3">
        <v>139</v>
      </c>
      <c r="E20" s="3">
        <v>11</v>
      </c>
      <c r="F20" s="3">
        <v>0.99</v>
      </c>
      <c r="S20">
        <v>6</v>
      </c>
      <c r="T20" s="9">
        <v>2</v>
      </c>
      <c r="U20" s="13">
        <v>0</v>
      </c>
      <c r="V20" s="13"/>
      <c r="W20" s="13"/>
      <c r="X20" s="13"/>
      <c r="Y20" s="13"/>
      <c r="Z20" s="13"/>
    </row>
    <row r="21" spans="1:26" ht="15" thickTop="1" thickBot="1" x14ac:dyDescent="0.2">
      <c r="A21" s="3">
        <v>10</v>
      </c>
      <c r="B21" s="3">
        <v>0.1</v>
      </c>
      <c r="C21" s="3">
        <v>0.4</v>
      </c>
      <c r="D21" s="3">
        <v>42</v>
      </c>
      <c r="E21" s="3">
        <v>2</v>
      </c>
      <c r="F21" s="3">
        <v>0.99</v>
      </c>
      <c r="S21">
        <v>7</v>
      </c>
      <c r="T21" s="9">
        <v>2.1</v>
      </c>
      <c r="U21" s="13">
        <v>15</v>
      </c>
      <c r="V21" s="13"/>
      <c r="W21" s="13"/>
      <c r="X21" s="13"/>
      <c r="Y21" s="13"/>
      <c r="Z21" s="13"/>
    </row>
    <row r="22" spans="1:26" ht="15" thickTop="1" thickBot="1" x14ac:dyDescent="0.2">
      <c r="A22" s="3">
        <v>11</v>
      </c>
      <c r="B22" s="3">
        <v>0</v>
      </c>
      <c r="C22" s="3">
        <v>0.3</v>
      </c>
      <c r="D22" s="3">
        <v>4</v>
      </c>
      <c r="E22" s="3">
        <v>0</v>
      </c>
      <c r="F22" s="3">
        <v>0.99</v>
      </c>
      <c r="S22">
        <v>8</v>
      </c>
      <c r="T22" s="9">
        <v>2.2000000000000002</v>
      </c>
      <c r="U22" s="13">
        <v>80</v>
      </c>
      <c r="V22" s="13"/>
      <c r="W22" s="13"/>
      <c r="X22" s="13"/>
      <c r="Y22" s="13"/>
      <c r="Z22" s="13"/>
    </row>
    <row r="23" spans="1:26" ht="14" thickTop="1" x14ac:dyDescent="0.15">
      <c r="A23" t="s">
        <v>32</v>
      </c>
      <c r="B23">
        <f>AVERAGE(B11:B22)</f>
        <v>0.64166666666666672</v>
      </c>
      <c r="C23">
        <f>AVERAGE(C11:C22)</f>
        <v>0.52083333333333337</v>
      </c>
      <c r="D23">
        <f>SUM(D11:D22)</f>
        <v>4465</v>
      </c>
      <c r="E23">
        <f>SUM(E11:E22)</f>
        <v>3351</v>
      </c>
      <c r="S23">
        <v>9</v>
      </c>
      <c r="T23" s="9">
        <v>2.2999999999999998</v>
      </c>
      <c r="U23" s="13">
        <v>210</v>
      </c>
      <c r="V23" s="13"/>
      <c r="W23" s="13"/>
      <c r="X23" s="13"/>
      <c r="Y23" s="13"/>
      <c r="Z23" s="13"/>
    </row>
    <row r="24" spans="1:26" x14ac:dyDescent="0.15">
      <c r="S24">
        <v>10</v>
      </c>
      <c r="T24" s="9">
        <v>2.4</v>
      </c>
      <c r="U24" s="13">
        <v>375</v>
      </c>
      <c r="V24" s="13"/>
      <c r="W24" s="13"/>
      <c r="X24" s="13"/>
      <c r="Y24" s="13"/>
      <c r="Z24" s="13"/>
    </row>
    <row r="25" spans="1:26" x14ac:dyDescent="0.15">
      <c r="S25">
        <v>11</v>
      </c>
      <c r="T25" s="9">
        <v>2.5</v>
      </c>
      <c r="U25" s="13">
        <v>620</v>
      </c>
      <c r="V25" s="13"/>
      <c r="W25" s="13"/>
      <c r="X25" s="13"/>
      <c r="Y25" s="13"/>
      <c r="Z25" s="13"/>
    </row>
    <row r="26" spans="1:26" x14ac:dyDescent="0.15">
      <c r="B26" t="s">
        <v>12</v>
      </c>
      <c r="S26">
        <v>12</v>
      </c>
      <c r="T26" s="9">
        <v>2.6</v>
      </c>
      <c r="U26" s="13">
        <v>1250</v>
      </c>
      <c r="V26" s="13"/>
      <c r="W26" s="13"/>
      <c r="X26" s="13"/>
      <c r="Y26" s="13"/>
      <c r="Z26" s="13"/>
    </row>
    <row r="27" spans="1:26" x14ac:dyDescent="0.15">
      <c r="A27" t="s">
        <v>0</v>
      </c>
      <c r="B27" t="s">
        <v>17</v>
      </c>
      <c r="C27" t="s">
        <v>1</v>
      </c>
      <c r="D27" t="s">
        <v>2</v>
      </c>
      <c r="E27" t="s">
        <v>3</v>
      </c>
      <c r="F27" t="s">
        <v>4</v>
      </c>
      <c r="G27" t="s">
        <v>5</v>
      </c>
      <c r="H27" t="s">
        <v>6</v>
      </c>
      <c r="I27" t="s">
        <v>7</v>
      </c>
      <c r="J27" t="s">
        <v>8</v>
      </c>
      <c r="K27" t="s">
        <v>9</v>
      </c>
      <c r="L27" t="s">
        <v>10</v>
      </c>
      <c r="M27" t="s">
        <v>11</v>
      </c>
      <c r="N27" s="15" t="s">
        <v>13</v>
      </c>
      <c r="O27" s="15" t="s">
        <v>14</v>
      </c>
      <c r="P27" t="s">
        <v>31</v>
      </c>
      <c r="Q27" t="s">
        <v>15</v>
      </c>
      <c r="R27" s="6" t="s">
        <v>16</v>
      </c>
      <c r="S27">
        <v>13</v>
      </c>
      <c r="T27" s="9">
        <v>2.7</v>
      </c>
      <c r="U27" s="13">
        <v>1500</v>
      </c>
      <c r="V27" s="13"/>
      <c r="W27" s="13"/>
      <c r="X27" s="13"/>
      <c r="Y27" s="13"/>
      <c r="Z27" s="13"/>
    </row>
    <row r="28" spans="1:26" x14ac:dyDescent="0.15">
      <c r="A28">
        <v>1</v>
      </c>
      <c r="B28" s="1">
        <v>1372.0635499540083</v>
      </c>
      <c r="C28" s="1">
        <v>862.36430417630254</v>
      </c>
      <c r="D28" s="1">
        <v>814.46962045980138</v>
      </c>
      <c r="E28" s="1">
        <v>698.09932798258728</v>
      </c>
      <c r="F28" s="1">
        <v>596.45669976873899</v>
      </c>
      <c r="G28" s="1">
        <v>509.9176846687526</v>
      </c>
      <c r="H28" s="1">
        <v>425.19466739219149</v>
      </c>
      <c r="I28" s="1">
        <v>348.69057815263233</v>
      </c>
      <c r="J28" s="1">
        <v>252.69204461977964</v>
      </c>
      <c r="K28" s="1">
        <v>149.45284451095088</v>
      </c>
      <c r="L28" s="1">
        <v>43.65324445653652</v>
      </c>
      <c r="M28" s="1">
        <v>4.4000000000000004</v>
      </c>
      <c r="N28" s="16">
        <v>5112.6139955782919</v>
      </c>
      <c r="O28" s="16">
        <v>4075.4495543757166</v>
      </c>
      <c r="P28" s="1">
        <v>9188.0635499540076</v>
      </c>
      <c r="Q28" s="1">
        <v>1372.0635499540083</v>
      </c>
      <c r="R28" s="1">
        <v>1427.9689838117263</v>
      </c>
      <c r="S28">
        <v>14</v>
      </c>
      <c r="T28" s="9">
        <v>2.8</v>
      </c>
      <c r="U28" s="13">
        <v>1500</v>
      </c>
      <c r="V28" s="13"/>
      <c r="W28" s="13"/>
      <c r="X28" s="13"/>
      <c r="Y28" s="13"/>
      <c r="Z28" s="13"/>
    </row>
    <row r="29" spans="1:26" x14ac:dyDescent="0.15">
      <c r="A29">
        <v>2</v>
      </c>
      <c r="B29" s="1">
        <v>1675.3698045746062</v>
      </c>
      <c r="C29" s="1">
        <v>695.31097015450541</v>
      </c>
      <c r="D29" s="1">
        <v>554.08505711604766</v>
      </c>
      <c r="E29" s="1">
        <v>551.76062438765825</v>
      </c>
      <c r="F29" s="1">
        <v>488.39653090399054</v>
      </c>
      <c r="G29" s="1">
        <v>434.63087920159649</v>
      </c>
      <c r="H29" s="1">
        <v>376.69984169404029</v>
      </c>
      <c r="I29" s="1">
        <v>316.91845970487094</v>
      </c>
      <c r="J29" s="1">
        <v>249.10609114875979</v>
      </c>
      <c r="K29" s="1">
        <v>148.28159387838571</v>
      </c>
      <c r="L29" s="1">
        <v>43.286337831739253</v>
      </c>
      <c r="M29" s="1">
        <v>4.2066637602119954</v>
      </c>
      <c r="N29" s="16">
        <v>4904.048543337507</v>
      </c>
      <c r="O29" s="16">
        <v>2848.7758273793825</v>
      </c>
      <c r="P29" s="1">
        <v>7752.8243707168895</v>
      </c>
      <c r="Q29" s="1">
        <v>1675.3698045746062</v>
      </c>
      <c r="R29" s="1">
        <v>905.34986641209764</v>
      </c>
      <c r="S29">
        <v>15</v>
      </c>
      <c r="T29" s="9">
        <v>2.9</v>
      </c>
      <c r="U29" s="13">
        <v>1500</v>
      </c>
      <c r="V29" s="13"/>
      <c r="W29" s="13"/>
      <c r="X29" s="13"/>
      <c r="Y29" s="13"/>
      <c r="Z29" s="13"/>
    </row>
    <row r="30" spans="1:26" x14ac:dyDescent="0.15">
      <c r="A30">
        <v>3</v>
      </c>
      <c r="B30" s="1">
        <v>1539.6680838563946</v>
      </c>
      <c r="C30" s="1">
        <v>829.43180826787375</v>
      </c>
      <c r="D30" s="1">
        <v>593.2819050475448</v>
      </c>
      <c r="E30" s="1">
        <v>474.67199999999997</v>
      </c>
      <c r="F30" s="1">
        <v>435.01930865640327</v>
      </c>
      <c r="G30" s="1">
        <v>391.59626881946872</v>
      </c>
      <c r="H30" s="1">
        <v>345.02845754741787</v>
      </c>
      <c r="I30" s="1">
        <v>298.10059443473966</v>
      </c>
      <c r="J30" s="1">
        <v>225.1044718072817</v>
      </c>
      <c r="K30" s="1">
        <v>146.08080531654463</v>
      </c>
      <c r="L30" s="1">
        <v>43.054224592035595</v>
      </c>
      <c r="M30" s="1">
        <v>4.2963109999895623</v>
      </c>
      <c r="N30" s="16">
        <v>4765.3917605979732</v>
      </c>
      <c r="O30" s="16">
        <v>2312.3291776148335</v>
      </c>
      <c r="P30" s="1">
        <v>7077.7209382128067</v>
      </c>
      <c r="Q30" s="1">
        <v>1539.6680838563946</v>
      </c>
      <c r="R30" s="1">
        <v>483.32783388995</v>
      </c>
      <c r="S30">
        <v>16</v>
      </c>
      <c r="T30" s="9">
        <v>3</v>
      </c>
      <c r="U30" s="13">
        <v>1500</v>
      </c>
    </row>
    <row r="31" spans="1:26" x14ac:dyDescent="0.15">
      <c r="A31">
        <v>4</v>
      </c>
      <c r="B31" s="1">
        <v>1527.5526505724158</v>
      </c>
      <c r="C31" s="1">
        <v>713.99409426243972</v>
      </c>
      <c r="D31" s="1">
        <v>529.06668107391476</v>
      </c>
      <c r="E31" s="1">
        <v>522.08807644183946</v>
      </c>
      <c r="F31" s="1">
        <v>422.45808</v>
      </c>
      <c r="G31" s="1">
        <v>381.37924126793757</v>
      </c>
      <c r="H31" s="1">
        <v>335.02209454592946</v>
      </c>
      <c r="I31" s="1">
        <v>287.35903017952756</v>
      </c>
      <c r="J31" s="1">
        <v>231.82583945718389</v>
      </c>
      <c r="K31" s="1">
        <v>139.07562240000004</v>
      </c>
      <c r="L31" s="1">
        <v>42.58089678771065</v>
      </c>
      <c r="M31" s="1">
        <v>4.1913730307631605</v>
      </c>
      <c r="N31" s="16">
        <v>4594.9666994760419</v>
      </c>
      <c r="O31" s="16">
        <v>2257.9201904420679</v>
      </c>
      <c r="P31" s="1">
        <v>6852.8868899181098</v>
      </c>
      <c r="Q31" s="1">
        <v>1527.5526505724158</v>
      </c>
      <c r="R31" s="1">
        <v>481.15325633417325</v>
      </c>
      <c r="S31" s="1"/>
    </row>
    <row r="32" spans="1:26" x14ac:dyDescent="0.15">
      <c r="A32">
        <v>5</v>
      </c>
      <c r="B32" s="1">
        <v>1461.9984281070085</v>
      </c>
      <c r="C32" s="1">
        <v>758.62090436324752</v>
      </c>
      <c r="D32" s="1">
        <v>539.57563725319994</v>
      </c>
      <c r="E32" s="1">
        <v>375.35853613396159</v>
      </c>
      <c r="F32" s="1">
        <v>464.6583880332372</v>
      </c>
      <c r="G32" s="1">
        <v>380.21227199999998</v>
      </c>
      <c r="H32" s="1">
        <v>335.00867908807271</v>
      </c>
      <c r="I32" s="1">
        <v>288.09974782559254</v>
      </c>
      <c r="J32" s="1">
        <v>224.123080896</v>
      </c>
      <c r="K32" s="1">
        <v>143.73202046345403</v>
      </c>
      <c r="L32" s="1">
        <v>41.722686720000013</v>
      </c>
      <c r="M32" s="1">
        <v>4.2336746138043324</v>
      </c>
      <c r="N32" s="16">
        <v>4429.0405723668828</v>
      </c>
      <c r="O32" s="16">
        <v>2169.5515357597878</v>
      </c>
      <c r="P32" s="1">
        <v>6598.5921081266706</v>
      </c>
      <c r="Q32" s="1">
        <v>1461.9984281070085</v>
      </c>
      <c r="R32" s="1">
        <v>455.91927341724903</v>
      </c>
      <c r="S32" s="1"/>
    </row>
    <row r="33" spans="1:19" x14ac:dyDescent="0.15">
      <c r="A33">
        <v>6</v>
      </c>
      <c r="B33" s="1">
        <v>1471.6450503347705</v>
      </c>
      <c r="C33" s="1">
        <v>686.07408432801708</v>
      </c>
      <c r="D33" s="1">
        <v>543.88777158610969</v>
      </c>
      <c r="E33" s="1">
        <v>474.82656078281593</v>
      </c>
      <c r="F33" s="1">
        <v>334.06909715922581</v>
      </c>
      <c r="G33" s="1">
        <v>418.19254922991342</v>
      </c>
      <c r="H33" s="1">
        <v>334.58679935999999</v>
      </c>
      <c r="I33" s="1">
        <v>287.74464744960005</v>
      </c>
      <c r="J33" s="1">
        <v>224.71780330396217</v>
      </c>
      <c r="K33" s="1">
        <v>138.95631015552001</v>
      </c>
      <c r="L33" s="1">
        <v>43.119606139036208</v>
      </c>
      <c r="M33" s="1">
        <v>4.1722686720000013</v>
      </c>
      <c r="N33" s="16">
        <v>4283.9914057630958</v>
      </c>
      <c r="O33" s="16">
        <v>2204.9977000692525</v>
      </c>
      <c r="P33" s="1">
        <v>6488.9891058323483</v>
      </c>
      <c r="Q33" s="1">
        <v>1471.6450503347705</v>
      </c>
      <c r="R33" s="1">
        <v>502.00295596052769</v>
      </c>
      <c r="S33" s="1"/>
    </row>
    <row r="34" spans="1:19" x14ac:dyDescent="0.15">
      <c r="A34">
        <v>7</v>
      </c>
      <c r="B34" s="1">
        <v>1463.5365508366285</v>
      </c>
      <c r="C34" s="1">
        <v>731.73844141685879</v>
      </c>
      <c r="D34" s="1">
        <v>476.25088580189254</v>
      </c>
      <c r="E34" s="1">
        <v>374.12276361947647</v>
      </c>
      <c r="F34" s="1">
        <v>422.59563909670618</v>
      </c>
      <c r="G34" s="1">
        <v>300.66218744330325</v>
      </c>
      <c r="H34" s="1">
        <v>368.00944332232382</v>
      </c>
      <c r="I34" s="1">
        <v>287.7446474496</v>
      </c>
      <c r="J34" s="1">
        <v>224.44082501068806</v>
      </c>
      <c r="K34" s="1">
        <v>139.32503804845655</v>
      </c>
      <c r="L34" s="1">
        <v>41.686893046656003</v>
      </c>
      <c r="M34" s="1">
        <v>4.3119606139036213</v>
      </c>
      <c r="N34" s="16">
        <v>4158.8451980305699</v>
      </c>
      <c r="O34" s="16">
        <v>2266.6839013070294</v>
      </c>
      <c r="P34" s="1">
        <v>6425.5290993375993</v>
      </c>
      <c r="Q34" s="1">
        <v>1463.5365508366285</v>
      </c>
      <c r="R34" s="1">
        <v>554.81557752212359</v>
      </c>
      <c r="S34" s="1"/>
    </row>
    <row r="35" spans="1:19" x14ac:dyDescent="0.15">
      <c r="A35">
        <v>8</v>
      </c>
      <c r="B35" s="1">
        <v>1417.5895829095607</v>
      </c>
      <c r="C35" s="1">
        <v>696.27101283167303</v>
      </c>
      <c r="D35" s="1">
        <v>555.4569168771061</v>
      </c>
      <c r="E35" s="1">
        <v>393.3909618619507</v>
      </c>
      <c r="F35" s="1">
        <v>304.59432505379425</v>
      </c>
      <c r="G35" s="1">
        <v>380.33607518703559</v>
      </c>
      <c r="H35" s="1">
        <v>264.58272495010686</v>
      </c>
      <c r="I35" s="1">
        <v>316.48812125719849</v>
      </c>
      <c r="J35" s="1">
        <v>224.440825010688</v>
      </c>
      <c r="K35" s="1">
        <v>139.15331150662661</v>
      </c>
      <c r="L35" s="1">
        <v>41.797511414536963</v>
      </c>
      <c r="M35" s="1">
        <v>4.1686893046656008</v>
      </c>
      <c r="N35" s="16">
        <v>4026.4626637822048</v>
      </c>
      <c r="O35" s="16">
        <v>2225.5521948338496</v>
      </c>
      <c r="P35" s="1">
        <v>6252.014858616054</v>
      </c>
      <c r="Q35" s="1">
        <v>1417.5895829095607</v>
      </c>
      <c r="R35" s="1">
        <v>545.9125414049189</v>
      </c>
      <c r="S35" s="1"/>
    </row>
    <row r="36" spans="1:19" x14ac:dyDescent="0.15">
      <c r="A36">
        <v>9</v>
      </c>
      <c r="B36" s="1">
        <v>1401.502311601233</v>
      </c>
      <c r="C36" s="1">
        <v>692.446207429791</v>
      </c>
      <c r="D36" s="1">
        <v>465.81917289026723</v>
      </c>
      <c r="E36" s="1">
        <v>436.12174500427773</v>
      </c>
      <c r="F36" s="1">
        <v>350.11795605713615</v>
      </c>
      <c r="G36" s="1">
        <v>274.13489254841483</v>
      </c>
      <c r="H36" s="1">
        <v>334.69574616459136</v>
      </c>
      <c r="I36" s="1">
        <v>227.54114345709189</v>
      </c>
      <c r="J36" s="1">
        <v>246.86073458061486</v>
      </c>
      <c r="K36" s="1">
        <v>139.15331150662655</v>
      </c>
      <c r="L36" s="1">
        <v>41.745993451987978</v>
      </c>
      <c r="M36" s="1">
        <v>4.1797511414536963</v>
      </c>
      <c r="N36" s="16">
        <v>3902.4420411301135</v>
      </c>
      <c r="O36" s="16">
        <v>2237.3303286360624</v>
      </c>
      <c r="P36" s="1">
        <v>6139.7723697661759</v>
      </c>
      <c r="Q36" s="1">
        <v>1401.502311601233</v>
      </c>
      <c r="R36" s="1">
        <v>579.87063238309759</v>
      </c>
      <c r="S36" s="1"/>
    </row>
    <row r="37" spans="1:19" x14ac:dyDescent="0.15">
      <c r="A37">
        <v>10</v>
      </c>
      <c r="B37" s="1">
        <v>1365.7995940972985</v>
      </c>
      <c r="C37" s="1">
        <v>675.10430414558846</v>
      </c>
      <c r="D37" s="1">
        <v>530.02773114356512</v>
      </c>
      <c r="E37" s="1">
        <v>327.89831582291782</v>
      </c>
      <c r="F37" s="1">
        <v>339.56515785830095</v>
      </c>
      <c r="G37" s="1">
        <v>315.10616045142257</v>
      </c>
      <c r="H37" s="1">
        <v>241.23870544260504</v>
      </c>
      <c r="I37" s="1">
        <v>287.83834170154853</v>
      </c>
      <c r="J37" s="1">
        <v>177.48209189653167</v>
      </c>
      <c r="K37" s="1">
        <v>153.05365543998118</v>
      </c>
      <c r="L37" s="1">
        <v>41.745993451987964</v>
      </c>
      <c r="M37" s="1">
        <v>4.1745993451987982</v>
      </c>
      <c r="N37" s="16">
        <v>3790.109321626539</v>
      </c>
      <c r="O37" s="16">
        <v>2190.0092383042456</v>
      </c>
      <c r="P37" s="1">
        <v>5980.1185599307846</v>
      </c>
      <c r="Q37" s="1">
        <v>1365.7995940972985</v>
      </c>
      <c r="R37" s="1">
        <v>567.06392732553422</v>
      </c>
      <c r="S37" s="1"/>
    </row>
    <row r="38" spans="1:19" x14ac:dyDescent="0.15">
      <c r="A38">
        <v>11</v>
      </c>
      <c r="B38" s="1">
        <v>1321.0871601622912</v>
      </c>
      <c r="C38" s="1">
        <v>660.02055022212903</v>
      </c>
      <c r="D38" s="1">
        <v>454.72222929915085</v>
      </c>
      <c r="E38" s="1">
        <v>466.42440340633732</v>
      </c>
      <c r="F38" s="1">
        <v>291.82950108239686</v>
      </c>
      <c r="G38" s="1">
        <v>264.10170385403927</v>
      </c>
      <c r="H38" s="1">
        <v>277.29342119725186</v>
      </c>
      <c r="I38" s="1">
        <v>207.46528668064033</v>
      </c>
      <c r="J38" s="1">
        <v>224.51390652720787</v>
      </c>
      <c r="K38" s="1">
        <v>110.03889697584964</v>
      </c>
      <c r="L38" s="1">
        <v>45.916096631994357</v>
      </c>
      <c r="M38" s="1">
        <v>4.1745993451987964</v>
      </c>
      <c r="N38" s="16">
        <v>3686.8449008003336</v>
      </c>
      <c r="O38" s="16">
        <v>2093.2769101589038</v>
      </c>
      <c r="P38" s="1">
        <v>5780.1218109592373</v>
      </c>
      <c r="Q38" s="1">
        <v>1321.0871601622912</v>
      </c>
      <c r="R38" s="1">
        <v>527.10946200583624</v>
      </c>
      <c r="S38" s="1"/>
    </row>
    <row r="39" spans="1:19" x14ac:dyDescent="0.15">
      <c r="A39">
        <v>12</v>
      </c>
      <c r="B39" s="1">
        <v>1283.2126479400283</v>
      </c>
      <c r="C39" s="1">
        <v>634.23601064317063</v>
      </c>
      <c r="D39" s="1">
        <v>496.88509689888531</v>
      </c>
      <c r="E39" s="1">
        <v>313.99984327912358</v>
      </c>
      <c r="F39" s="1">
        <v>415.11771903164015</v>
      </c>
      <c r="G39" s="1">
        <v>262.64655097415721</v>
      </c>
      <c r="H39" s="1">
        <v>232.40949939155453</v>
      </c>
      <c r="I39" s="1">
        <v>238.47234222963658</v>
      </c>
      <c r="J39" s="1">
        <v>161.82292361089947</v>
      </c>
      <c r="K39" s="1">
        <v>139.19862204686888</v>
      </c>
      <c r="L39" s="1">
        <v>33.011669092754893</v>
      </c>
      <c r="M39" s="1">
        <v>4.5916096631994359</v>
      </c>
      <c r="N39" s="16">
        <v>3601.9769447281628</v>
      </c>
      <c r="O39" s="16">
        <v>2008.8234585963532</v>
      </c>
      <c r="P39" s="1">
        <v>5610.8004033245161</v>
      </c>
      <c r="Q39" s="1">
        <v>1283.2126479400283</v>
      </c>
      <c r="R39" s="1">
        <v>495.00262807593202</v>
      </c>
      <c r="S39" s="1"/>
    </row>
    <row r="40" spans="1:19" x14ac:dyDescent="0.15">
      <c r="A40">
        <v>13</v>
      </c>
      <c r="B40" s="1">
        <v>1250.8310687594847</v>
      </c>
      <c r="C40" s="1">
        <v>618.99839558051849</v>
      </c>
      <c r="D40" s="1">
        <v>433.45139827634233</v>
      </c>
      <c r="E40" s="1">
        <v>437.25888527101904</v>
      </c>
      <c r="F40" s="1">
        <v>279.45986051841999</v>
      </c>
      <c r="G40" s="1">
        <v>373.60594712847615</v>
      </c>
      <c r="H40" s="1">
        <v>231.12896485725835</v>
      </c>
      <c r="I40" s="1">
        <v>199.8721694767369</v>
      </c>
      <c r="J40" s="1">
        <v>186.00842693911653</v>
      </c>
      <c r="K40" s="1">
        <v>100.33021263875767</v>
      </c>
      <c r="L40" s="1">
        <v>41.759586614060659</v>
      </c>
      <c r="M40" s="1">
        <v>3.3011669092754894</v>
      </c>
      <c r="N40" s="16">
        <v>3519.3494357024201</v>
      </c>
      <c r="O40" s="16">
        <v>1947.0861678589831</v>
      </c>
      <c r="P40" s="1">
        <v>5466.4356035614037</v>
      </c>
      <c r="Q40" s="1">
        <v>1250.8310687594847</v>
      </c>
      <c r="R40" s="1">
        <v>477.57656520030861</v>
      </c>
      <c r="S40" s="1"/>
    </row>
    <row r="41" spans="1:19" x14ac:dyDescent="0.15">
      <c r="A41">
        <v>14</v>
      </c>
      <c r="B41" s="1">
        <v>1247.8178088617979</v>
      </c>
      <c r="C41" s="1">
        <v>602.63894235796465</v>
      </c>
      <c r="D41" s="1">
        <v>461.82359325211547</v>
      </c>
      <c r="E41" s="1">
        <v>295.983215878598</v>
      </c>
      <c r="F41" s="1">
        <v>389.160407891207</v>
      </c>
      <c r="G41" s="1">
        <v>251.51387446657799</v>
      </c>
      <c r="H41" s="1">
        <v>328.77323347305901</v>
      </c>
      <c r="I41" s="1">
        <v>198.77090977724217</v>
      </c>
      <c r="J41" s="1">
        <v>155.90029219185479</v>
      </c>
      <c r="K41" s="1">
        <v>115.32522470225226</v>
      </c>
      <c r="L41" s="1">
        <v>30.099063791627302</v>
      </c>
      <c r="M41" s="1">
        <v>4.1759586614060655</v>
      </c>
      <c r="N41" s="16">
        <v>3450.9364326249779</v>
      </c>
      <c r="O41" s="16">
        <v>1952.8874592062864</v>
      </c>
      <c r="P41" s="1">
        <v>5403.8238918312645</v>
      </c>
      <c r="Q41" s="1">
        <v>1247.8178088617979</v>
      </c>
      <c r="R41" s="1">
        <v>497.82815718859285</v>
      </c>
      <c r="S41" s="1"/>
    </row>
    <row r="42" spans="1:19" x14ac:dyDescent="0.15">
      <c r="A42">
        <v>15</v>
      </c>
      <c r="B42" s="1">
        <v>1217.1124018368175</v>
      </c>
      <c r="C42" s="1">
        <v>605.06793391680583</v>
      </c>
      <c r="D42" s="1">
        <v>417.18782219524439</v>
      </c>
      <c r="E42" s="1">
        <v>406.40476206186156</v>
      </c>
      <c r="F42" s="1">
        <v>263.42506213195225</v>
      </c>
      <c r="G42" s="1">
        <v>350.2443671020863</v>
      </c>
      <c r="H42" s="1">
        <v>221.33220953058864</v>
      </c>
      <c r="I42" s="1">
        <v>282.74498078683075</v>
      </c>
      <c r="J42" s="1">
        <v>155.0413096262489</v>
      </c>
      <c r="K42" s="1">
        <v>96.658181158949972</v>
      </c>
      <c r="L42" s="1">
        <v>34.597567410675673</v>
      </c>
      <c r="M42" s="1">
        <v>3.0099063791627305</v>
      </c>
      <c r="N42" s="16">
        <v>3383.7313420467067</v>
      </c>
      <c r="O42" s="16">
        <v>1915.3635850958135</v>
      </c>
      <c r="P42" s="1">
        <v>5299.0949271425197</v>
      </c>
      <c r="Q42" s="1">
        <v>1217.1124018368175</v>
      </c>
      <c r="R42" s="1">
        <v>485.0508330369849</v>
      </c>
      <c r="S42" s="1"/>
    </row>
    <row r="43" spans="1:19" x14ac:dyDescent="0.15">
      <c r="A43">
        <v>16</v>
      </c>
      <c r="B43" s="1">
        <v>1224.6683096021231</v>
      </c>
      <c r="C43" s="1">
        <v>585.02507383314332</v>
      </c>
      <c r="D43" s="1">
        <v>448.76748578297838</v>
      </c>
      <c r="E43" s="1">
        <v>280.2426769531354</v>
      </c>
      <c r="F43" s="1">
        <v>361.70023823505682</v>
      </c>
      <c r="G43" s="1">
        <v>237.08255591875704</v>
      </c>
      <c r="H43" s="1">
        <v>308.21504304983591</v>
      </c>
      <c r="I43" s="1">
        <v>190.34570019630624</v>
      </c>
      <c r="J43" s="1">
        <v>220.54108501372804</v>
      </c>
      <c r="K43" s="1">
        <v>96.125611968274313</v>
      </c>
      <c r="L43" s="1">
        <v>28.99745434768499</v>
      </c>
      <c r="M43" s="1">
        <v>3.4597567410675674</v>
      </c>
      <c r="N43" s="16">
        <v>3329.5484042123039</v>
      </c>
      <c r="O43" s="16">
        <v>1947.9464095270437</v>
      </c>
      <c r="P43" s="1">
        <v>5277.4948137393476</v>
      </c>
      <c r="Q43" s="1">
        <v>1224.6683096021231</v>
      </c>
      <c r="R43" s="1">
        <v>518.90948721991481</v>
      </c>
      <c r="S43" s="1"/>
    </row>
    <row r="44" spans="1:19" x14ac:dyDescent="0.15">
      <c r="A44">
        <v>17</v>
      </c>
      <c r="B44" s="1">
        <v>1190.3139322467382</v>
      </c>
      <c r="C44" s="1">
        <v>596.67910228640335</v>
      </c>
      <c r="D44" s="1">
        <v>405.35305019468041</v>
      </c>
      <c r="E44" s="1">
        <v>394.91538748902104</v>
      </c>
      <c r="F44" s="1">
        <v>249.41598248829052</v>
      </c>
      <c r="G44" s="1">
        <v>325.53021441155113</v>
      </c>
      <c r="H44" s="1">
        <v>208.63264920850619</v>
      </c>
      <c r="I44" s="1">
        <v>265.06493702285889</v>
      </c>
      <c r="J44" s="1">
        <v>148.46964615311887</v>
      </c>
      <c r="K44" s="1">
        <v>136.7354727085114</v>
      </c>
      <c r="L44" s="1">
        <v>28.837683590482293</v>
      </c>
      <c r="M44" s="1">
        <v>2.8997454347684992</v>
      </c>
      <c r="N44" s="16">
        <v>3271.1531532615227</v>
      </c>
      <c r="O44" s="16">
        <v>1904.3317706273067</v>
      </c>
      <c r="P44" s="1">
        <v>5175.4849238888291</v>
      </c>
      <c r="Q44" s="1">
        <v>1190.3139322467382</v>
      </c>
      <c r="R44" s="1">
        <v>499.27579032677357</v>
      </c>
      <c r="S44" s="1"/>
    </row>
    <row r="45" spans="1:19" x14ac:dyDescent="0.15">
      <c r="A45">
        <v>18</v>
      </c>
      <c r="B45" s="1">
        <v>1194.5636383087142</v>
      </c>
      <c r="C45" s="1">
        <v>569.81493340009092</v>
      </c>
      <c r="D45" s="1">
        <v>444.14266340818011</v>
      </c>
      <c r="E45" s="1">
        <v>272.68817201821167</v>
      </c>
      <c r="F45" s="1">
        <v>351.47469486522868</v>
      </c>
      <c r="G45" s="1">
        <v>224.47438423946147</v>
      </c>
      <c r="H45" s="1">
        <v>286.46658868216502</v>
      </c>
      <c r="I45" s="1">
        <v>179.42407831931533</v>
      </c>
      <c r="J45" s="1">
        <v>206.75065087782994</v>
      </c>
      <c r="K45" s="1">
        <v>92.051180614933713</v>
      </c>
      <c r="L45" s="1">
        <v>41.020641812553414</v>
      </c>
      <c r="M45" s="1">
        <v>2.8837683590482293</v>
      </c>
      <c r="N45" s="16">
        <v>3220.6354534455741</v>
      </c>
      <c r="O45" s="16">
        <v>1926.7759880980716</v>
      </c>
      <c r="P45" s="1">
        <v>5147.4114415436452</v>
      </c>
      <c r="Q45" s="1">
        <v>1194.5636383087142</v>
      </c>
      <c r="R45" s="1">
        <v>526.71223590485363</v>
      </c>
      <c r="S45" s="1"/>
    </row>
    <row r="46" spans="1:19" x14ac:dyDescent="0.15">
      <c r="A46">
        <v>19</v>
      </c>
      <c r="B46" s="1">
        <v>1150.9344786964566</v>
      </c>
      <c r="C46" s="1">
        <v>582.86378211915712</v>
      </c>
      <c r="D46" s="1">
        <v>390.86058792699498</v>
      </c>
      <c r="E46" s="1">
        <v>390.84554379919848</v>
      </c>
      <c r="F46" s="1">
        <v>242.6924730962084</v>
      </c>
      <c r="G46" s="1">
        <v>316.32722537870586</v>
      </c>
      <c r="H46" s="1">
        <v>197.53745813072609</v>
      </c>
      <c r="I46" s="1">
        <v>246.36126626666191</v>
      </c>
      <c r="J46" s="1">
        <v>139.95078108906597</v>
      </c>
      <c r="K46" s="1">
        <v>128.18540354425457</v>
      </c>
      <c r="L46" s="1">
        <v>27.615354184480115</v>
      </c>
      <c r="M46" s="1">
        <v>4.1020641812553418</v>
      </c>
      <c r="N46" s="16">
        <v>3162.8130325694819</v>
      </c>
      <c r="O46" s="16">
        <v>1853.876841032707</v>
      </c>
      <c r="P46" s="1">
        <v>5016.6898736021885</v>
      </c>
      <c r="Q46" s="1">
        <v>1150.9344786964566</v>
      </c>
      <c r="R46" s="1">
        <v>489.61032310914476</v>
      </c>
      <c r="S46" s="1"/>
    </row>
    <row r="47" spans="1:19" x14ac:dyDescent="0.15">
      <c r="A47">
        <v>20</v>
      </c>
      <c r="B47" s="1">
        <v>1152.5430848251813</v>
      </c>
      <c r="C47" s="1">
        <v>548.1813338685505</v>
      </c>
      <c r="D47" s="1">
        <v>437.83081125649574</v>
      </c>
      <c r="E47" s="1">
        <v>266.68410396798402</v>
      </c>
      <c r="F47" s="1">
        <v>347.85253398128668</v>
      </c>
      <c r="G47" s="1">
        <v>218.42322578658761</v>
      </c>
      <c r="H47" s="1">
        <v>278.36795833326119</v>
      </c>
      <c r="I47" s="1">
        <v>169.88221399242443</v>
      </c>
      <c r="J47" s="1">
        <v>192.16178768799631</v>
      </c>
      <c r="K47" s="1">
        <v>86.769484275220904</v>
      </c>
      <c r="L47" s="1">
        <v>38.455621063276368</v>
      </c>
      <c r="M47" s="1">
        <v>2.7615354184480116</v>
      </c>
      <c r="N47" s="16">
        <v>3112.7589391708289</v>
      </c>
      <c r="O47" s="16">
        <v>1858.0605640675183</v>
      </c>
      <c r="P47" s="1">
        <v>4970.8195032383474</v>
      </c>
      <c r="Q47" s="1">
        <v>1152.5430848251813</v>
      </c>
      <c r="R47" s="1">
        <v>508.01315072677488</v>
      </c>
      <c r="S47" s="1"/>
    </row>
    <row r="48" spans="1:19" x14ac:dyDescent="0.15">
      <c r="A48">
        <v>21</v>
      </c>
      <c r="B48" s="1">
        <v>1113.9546569633937</v>
      </c>
      <c r="C48" s="1">
        <v>563.53740042069785</v>
      </c>
      <c r="D48" s="1">
        <v>370.63321483608956</v>
      </c>
      <c r="E48" s="1">
        <v>385.29111390571632</v>
      </c>
      <c r="F48" s="1">
        <v>237.3488525315058</v>
      </c>
      <c r="G48" s="1">
        <v>313.06728058315798</v>
      </c>
      <c r="H48" s="1">
        <v>192.21243869219708</v>
      </c>
      <c r="I48" s="1">
        <v>239.39644416660457</v>
      </c>
      <c r="J48" s="1">
        <v>132.50812691409106</v>
      </c>
      <c r="K48" s="1">
        <v>119.14030836655769</v>
      </c>
      <c r="L48" s="1">
        <v>26.030845282566268</v>
      </c>
      <c r="M48" s="1">
        <v>3.8455621063276375</v>
      </c>
      <c r="N48" s="16">
        <v>3059.3601230780469</v>
      </c>
      <c r="O48" s="16">
        <v>1794.5082283420595</v>
      </c>
      <c r="P48" s="1">
        <v>4853.8683514201066</v>
      </c>
      <c r="Q48" s="1">
        <v>1113.9546569633937</v>
      </c>
      <c r="R48" s="1">
        <v>477.10085038838258</v>
      </c>
      <c r="S48" s="1"/>
    </row>
    <row r="49" spans="1:19" x14ac:dyDescent="0.15">
      <c r="A49">
        <v>22</v>
      </c>
      <c r="B49" s="1">
        <v>1115.9620873174849</v>
      </c>
      <c r="C49" s="1">
        <v>529.63609642777192</v>
      </c>
      <c r="D49" s="1">
        <v>428.83373802844767</v>
      </c>
      <c r="E49" s="1">
        <v>257.86132705149168</v>
      </c>
      <c r="F49" s="1">
        <v>342.90909137608753</v>
      </c>
      <c r="G49" s="1">
        <v>213.61396727835523</v>
      </c>
      <c r="H49" s="1">
        <v>275.49920691317902</v>
      </c>
      <c r="I49" s="1">
        <v>165.30269727528949</v>
      </c>
      <c r="J49" s="1">
        <v>186.72922644995157</v>
      </c>
      <c r="K49" s="1">
        <v>82.155038686736461</v>
      </c>
      <c r="L49" s="1">
        <v>35.742092509967307</v>
      </c>
      <c r="M49" s="1">
        <v>2.6030845282566268</v>
      </c>
      <c r="N49" s="16">
        <v>3014.7868765725616</v>
      </c>
      <c r="O49" s="16">
        <v>1798.1414555138285</v>
      </c>
      <c r="P49" s="1">
        <v>4812.9283320863906</v>
      </c>
      <c r="Q49" s="1">
        <v>1115.9620873174849</v>
      </c>
      <c r="R49" s="1">
        <v>493.36825676157935</v>
      </c>
      <c r="S49" s="1"/>
    </row>
    <row r="50" spans="1:19" x14ac:dyDescent="0.15">
      <c r="A50">
        <v>23</v>
      </c>
      <c r="B50" s="1">
        <v>1085.9396649816035</v>
      </c>
      <c r="C50" s="1">
        <v>546.19534845075714</v>
      </c>
      <c r="D50" s="1">
        <v>353.01275499314551</v>
      </c>
      <c r="E50" s="1">
        <v>377.37368946503392</v>
      </c>
      <c r="F50" s="1">
        <v>229.49658107582761</v>
      </c>
      <c r="G50" s="1">
        <v>308.61818223847877</v>
      </c>
      <c r="H50" s="1">
        <v>187.98029120495261</v>
      </c>
      <c r="I50" s="1">
        <v>236.92931794533396</v>
      </c>
      <c r="J50" s="1">
        <v>128.9361038747258</v>
      </c>
      <c r="K50" s="1">
        <v>115.77212039896997</v>
      </c>
      <c r="L50" s="1">
        <v>24.646511606020937</v>
      </c>
      <c r="M50" s="1">
        <v>3.5742092509967307</v>
      </c>
      <c r="N50" s="16">
        <v>2969.3306397737033</v>
      </c>
      <c r="O50" s="16">
        <v>1753.4566790509195</v>
      </c>
      <c r="P50" s="1">
        <v>4722.7873188246231</v>
      </c>
      <c r="Q50" s="1">
        <v>1085.9396649816035</v>
      </c>
      <c r="R50" s="1">
        <v>472.6670186735351</v>
      </c>
      <c r="S50" s="1"/>
    </row>
    <row r="51" spans="1:19" x14ac:dyDescent="0.15">
      <c r="A51">
        <v>24</v>
      </c>
      <c r="B51" s="1">
        <v>1084.8927277409225</v>
      </c>
      <c r="C51" s="1">
        <v>516.63140298830444</v>
      </c>
      <c r="D51" s="1">
        <v>420.11646626538919</v>
      </c>
      <c r="E51" s="1">
        <v>249.5761760870204</v>
      </c>
      <c r="F51" s="1">
        <v>335.8625836238802</v>
      </c>
      <c r="G51" s="1">
        <v>206.54692296824484</v>
      </c>
      <c r="H51" s="1">
        <v>271.58400036986131</v>
      </c>
      <c r="I51" s="1">
        <v>161.66305043625923</v>
      </c>
      <c r="J51" s="1">
        <v>184.8048679973605</v>
      </c>
      <c r="K51" s="1">
        <v>79.940384402329997</v>
      </c>
      <c r="L51" s="1">
        <v>34.73163611969099</v>
      </c>
      <c r="M51" s="1">
        <v>2.4646511606020938</v>
      </c>
      <c r="N51" s="16">
        <v>2929.2896505470417</v>
      </c>
      <c r="O51" s="16">
        <v>1754.0778526797269</v>
      </c>
      <c r="P51" s="1">
        <v>4683.3675032267683</v>
      </c>
      <c r="Q51" s="1">
        <v>1084.8927277409225</v>
      </c>
      <c r="R51" s="1">
        <v>484.89668818228137</v>
      </c>
      <c r="S51" s="1"/>
    </row>
    <row r="52" spans="1:19" x14ac:dyDescent="0.15">
      <c r="A52">
        <v>25</v>
      </c>
      <c r="B52" s="1">
        <v>1061.4579164238392</v>
      </c>
      <c r="C52" s="1">
        <v>530.32467272133817</v>
      </c>
      <c r="D52" s="1">
        <v>341.18886127682185</v>
      </c>
      <c r="E52" s="1">
        <v>369.70249031354251</v>
      </c>
      <c r="F52" s="1">
        <v>222.12279671744815</v>
      </c>
      <c r="G52" s="1">
        <v>302.27632526149222</v>
      </c>
      <c r="H52" s="1">
        <v>181.76129221205545</v>
      </c>
      <c r="I52" s="1">
        <v>233.56224031808074</v>
      </c>
      <c r="J52" s="1">
        <v>126.0971793402822</v>
      </c>
      <c r="K52" s="1">
        <v>114.57901815836351</v>
      </c>
      <c r="L52" s="1">
        <v>23.982115320698998</v>
      </c>
      <c r="M52" s="1">
        <v>3.473163611969099</v>
      </c>
      <c r="N52" s="16">
        <v>2887.9708974478526</v>
      </c>
      <c r="O52" s="16">
        <v>1722.3018891358518</v>
      </c>
      <c r="P52" s="1">
        <v>4610.2727865837041</v>
      </c>
      <c r="Q52" s="1">
        <v>1061.4579164238392</v>
      </c>
      <c r="R52" s="1">
        <v>471.92194090176821</v>
      </c>
      <c r="S52" s="1"/>
    </row>
    <row r="53" spans="1:19" x14ac:dyDescent="0.15">
      <c r="A53">
        <v>26</v>
      </c>
      <c r="B53" s="1">
        <v>1056.1481952457098</v>
      </c>
      <c r="C53" s="1">
        <v>506.05106446832531</v>
      </c>
      <c r="D53" s="1">
        <v>409.95165146139061</v>
      </c>
      <c r="E53" s="1">
        <v>243.29955205370166</v>
      </c>
      <c r="F53" s="1">
        <v>329.03521637905283</v>
      </c>
      <c r="G53" s="1">
        <v>199.91051704570333</v>
      </c>
      <c r="H53" s="1">
        <v>266.00316623011315</v>
      </c>
      <c r="I53" s="1">
        <v>156.3147113023677</v>
      </c>
      <c r="J53" s="1">
        <v>182.17854744810302</v>
      </c>
      <c r="K53" s="1">
        <v>78.180251190974957</v>
      </c>
      <c r="L53" s="1">
        <v>34.373705447509053</v>
      </c>
      <c r="M53" s="1">
        <v>2.3982115320699</v>
      </c>
      <c r="N53" s="16">
        <v>2849.4303740112287</v>
      </c>
      <c r="O53" s="16">
        <v>1717.2458929104134</v>
      </c>
      <c r="P53" s="1">
        <v>4566.6762669216423</v>
      </c>
      <c r="Q53" s="1">
        <v>1056.1481952457098</v>
      </c>
      <c r="R53" s="1">
        <v>479.4616037306684</v>
      </c>
      <c r="S53" s="1"/>
    </row>
    <row r="54" spans="1:19" x14ac:dyDescent="0.15">
      <c r="A54">
        <v>27</v>
      </c>
      <c r="B54" s="1">
        <v>1036.214299853968</v>
      </c>
      <c r="C54" s="1">
        <v>514.86052514116864</v>
      </c>
      <c r="D54" s="1">
        <v>333.71264326838241</v>
      </c>
      <c r="E54" s="1">
        <v>360.75745328602375</v>
      </c>
      <c r="F54" s="1">
        <v>216.53660132779447</v>
      </c>
      <c r="G54" s="1">
        <v>296.13169474114756</v>
      </c>
      <c r="H54" s="1">
        <v>175.92125500021893</v>
      </c>
      <c r="I54" s="1">
        <v>228.76272295789732</v>
      </c>
      <c r="J54" s="1">
        <v>121.92547481584681</v>
      </c>
      <c r="K54" s="1">
        <v>112.95069941782387</v>
      </c>
      <c r="L54" s="1">
        <v>23.454075357292485</v>
      </c>
      <c r="M54" s="1">
        <v>3.4373705447509053</v>
      </c>
      <c r="N54" s="16">
        <v>2809.750386591787</v>
      </c>
      <c r="O54" s="16">
        <v>1690.308703067202</v>
      </c>
      <c r="P54" s="1">
        <v>4500.0590896589893</v>
      </c>
      <c r="Q54" s="1">
        <v>1036.214299853968</v>
      </c>
      <c r="R54" s="1">
        <v>469.89207593465022</v>
      </c>
      <c r="S54" s="1"/>
    </row>
    <row r="55" spans="1:19" x14ac:dyDescent="0.15">
      <c r="A55">
        <v>28</v>
      </c>
      <c r="B55" s="1">
        <v>1028.2980631338671</v>
      </c>
      <c r="C55" s="1">
        <v>495.2122037780349</v>
      </c>
      <c r="D55" s="1">
        <v>397.40839249632677</v>
      </c>
      <c r="E55" s="1">
        <v>237.81453419343566</v>
      </c>
      <c r="F55" s="1">
        <v>321.07413342456113</v>
      </c>
      <c r="G55" s="1">
        <v>194.88294119501504</v>
      </c>
      <c r="H55" s="1">
        <v>260.59589137220985</v>
      </c>
      <c r="I55" s="1">
        <v>151.29227930018828</v>
      </c>
      <c r="J55" s="1">
        <v>178.43492390715991</v>
      </c>
      <c r="K55" s="1">
        <v>75.593794385825021</v>
      </c>
      <c r="L55" s="1">
        <v>33.885209825347161</v>
      </c>
      <c r="M55" s="1">
        <v>2.3454075357292488</v>
      </c>
      <c r="N55" s="16">
        <v>2772.3436583430084</v>
      </c>
      <c r="O55" s="16">
        <v>1680.6192205031743</v>
      </c>
      <c r="P55" s="1">
        <v>4452.9628788461832</v>
      </c>
      <c r="Q55" s="1">
        <v>1028.2980631338671</v>
      </c>
      <c r="R55" s="1">
        <v>474.02004639182553</v>
      </c>
      <c r="S55" s="1"/>
    </row>
    <row r="56" spans="1:19" x14ac:dyDescent="0.15">
      <c r="A56">
        <v>29</v>
      </c>
      <c r="B56" s="1">
        <v>1008.7754615231908</v>
      </c>
      <c r="C56" s="1">
        <v>499.83693041470877</v>
      </c>
      <c r="D56" s="1">
        <v>328.27555663165316</v>
      </c>
      <c r="E56" s="1">
        <v>349.71938539676756</v>
      </c>
      <c r="F56" s="1">
        <v>211.65493543215774</v>
      </c>
      <c r="G56" s="1">
        <v>288.96672008210504</v>
      </c>
      <c r="H56" s="1">
        <v>171.49698825161323</v>
      </c>
      <c r="I56" s="1">
        <v>224.11246658010052</v>
      </c>
      <c r="J56" s="1">
        <v>118.00797785414684</v>
      </c>
      <c r="K56" s="1">
        <v>110.62965282243916</v>
      </c>
      <c r="L56" s="1">
        <v>22.678138315747507</v>
      </c>
      <c r="M56" s="1">
        <v>3.3885209825347165</v>
      </c>
      <c r="N56" s="16">
        <v>2733.7571802431039</v>
      </c>
      <c r="O56" s="16">
        <v>1651.8560558277873</v>
      </c>
      <c r="P56" s="1">
        <v>4385.6132360708907</v>
      </c>
      <c r="Q56" s="1">
        <v>1008.7754615231908</v>
      </c>
      <c r="R56" s="1">
        <v>463.57219010051745</v>
      </c>
      <c r="S56" s="1"/>
    </row>
    <row r="57" spans="1:19" x14ac:dyDescent="0.15">
      <c r="A57">
        <v>30</v>
      </c>
      <c r="B57" s="1">
        <v>1000.4689439670128</v>
      </c>
      <c r="C57" s="1">
        <v>482.82973699277886</v>
      </c>
      <c r="D57" s="1">
        <v>383.44600291894056</v>
      </c>
      <c r="E57" s="1">
        <v>232.15882347421339</v>
      </c>
      <c r="F57" s="1">
        <v>311.25025300312313</v>
      </c>
      <c r="G57" s="1">
        <v>190.48944188894197</v>
      </c>
      <c r="H57" s="1">
        <v>254.29071367225242</v>
      </c>
      <c r="I57" s="1">
        <v>147.48740989638739</v>
      </c>
      <c r="J57" s="1">
        <v>174.80772393247838</v>
      </c>
      <c r="K57" s="1">
        <v>73.164946269571047</v>
      </c>
      <c r="L57" s="1">
        <v>33.188895846731747</v>
      </c>
      <c r="M57" s="1">
        <v>2.2678138315747507</v>
      </c>
      <c r="N57" s="16">
        <v>2697.8775124966901</v>
      </c>
      <c r="O57" s="16">
        <v>1640.1341657574881</v>
      </c>
      <c r="P57" s="1">
        <v>4338.0116782541782</v>
      </c>
      <c r="Q57" s="1">
        <v>1000.4689439670128</v>
      </c>
      <c r="R57" s="1">
        <v>466.33606461470725</v>
      </c>
      <c r="S57" s="1"/>
    </row>
    <row r="58" spans="1:19" x14ac:dyDescent="0.15">
      <c r="A58">
        <v>31</v>
      </c>
      <c r="B58" s="1">
        <v>978.25205749613747</v>
      </c>
      <c r="C58" s="1">
        <v>485.30979394840961</v>
      </c>
      <c r="D58" s="1">
        <v>322.70147592424928</v>
      </c>
      <c r="E58" s="1">
        <v>337.43248256866769</v>
      </c>
      <c r="F58" s="1">
        <v>206.62135289204991</v>
      </c>
      <c r="G58" s="1">
        <v>280.12522770281083</v>
      </c>
      <c r="H58" s="1">
        <v>167.63070886226893</v>
      </c>
      <c r="I58" s="1">
        <v>218.69001375813707</v>
      </c>
      <c r="J58" s="1">
        <v>115.04017971918218</v>
      </c>
      <c r="K58" s="1">
        <v>108.3807888381366</v>
      </c>
      <c r="L58" s="1">
        <v>21.949483880871313</v>
      </c>
      <c r="M58" s="1">
        <v>3.3188895846731752</v>
      </c>
      <c r="N58" s="16">
        <v>2659.3924936473404</v>
      </c>
      <c r="O58" s="16">
        <v>1604.7102695428032</v>
      </c>
      <c r="P58" s="1">
        <v>4264.1027631901434</v>
      </c>
      <c r="Q58" s="1">
        <v>978.25205749613735</v>
      </c>
      <c r="R58" s="1">
        <v>451.8995497267972</v>
      </c>
      <c r="S58" s="1"/>
    </row>
    <row r="59" spans="1:19" x14ac:dyDescent="0.15">
      <c r="A59">
        <v>32</v>
      </c>
      <c r="B59" s="1">
        <v>970.77620756398665</v>
      </c>
      <c r="C59" s="1">
        <v>468.09116874466906</v>
      </c>
      <c r="D59" s="1">
        <v>369.53276355277421</v>
      </c>
      <c r="E59" s="1">
        <v>226.01128389164822</v>
      </c>
      <c r="F59" s="1">
        <v>300.31490948611423</v>
      </c>
      <c r="G59" s="1">
        <v>185.95921760284492</v>
      </c>
      <c r="H59" s="1">
        <v>246.51020037847351</v>
      </c>
      <c r="I59" s="1">
        <v>144.16240962155129</v>
      </c>
      <c r="J59" s="1">
        <v>170.57821073134693</v>
      </c>
      <c r="K59" s="1">
        <v>71.32491142589295</v>
      </c>
      <c r="L59" s="1">
        <v>32.514236651440982</v>
      </c>
      <c r="M59" s="1">
        <v>2.1949483880871314</v>
      </c>
      <c r="N59" s="16">
        <v>2623.626087803882</v>
      </c>
      <c r="O59" s="16">
        <v>1592.6025749356991</v>
      </c>
      <c r="P59" s="1">
        <v>4216.2286627395806</v>
      </c>
      <c r="Q59" s="1">
        <v>970.77620756398676</v>
      </c>
      <c r="R59" s="1">
        <v>455.0297849513417</v>
      </c>
      <c r="S59" s="1"/>
    </row>
    <row r="60" spans="1:19" x14ac:dyDescent="0.15">
      <c r="A60">
        <v>33</v>
      </c>
      <c r="B60" s="1">
        <v>943.77518525921823</v>
      </c>
      <c r="C60" s="1">
        <v>470.55428943704248</v>
      </c>
      <c r="D60" s="1">
        <v>314.97630836422468</v>
      </c>
      <c r="E60" s="1">
        <v>325.18883192644131</v>
      </c>
      <c r="F60" s="1">
        <v>201.15004266356692</v>
      </c>
      <c r="G60" s="1">
        <v>270.28341853750283</v>
      </c>
      <c r="H60" s="1">
        <v>163.64411149050352</v>
      </c>
      <c r="I60" s="1">
        <v>211.99877232548721</v>
      </c>
      <c r="J60" s="1">
        <v>112.44667950481001</v>
      </c>
      <c r="K60" s="1">
        <v>105.7584906534351</v>
      </c>
      <c r="L60" s="1">
        <v>21.397473427767885</v>
      </c>
      <c r="M60" s="1">
        <v>3.251423665144098</v>
      </c>
      <c r="N60" s="16">
        <v>2583.0662367979339</v>
      </c>
      <c r="O60" s="16">
        <v>1548.6794165001143</v>
      </c>
      <c r="P60" s="1">
        <v>4131.7456532980486</v>
      </c>
      <c r="Q60" s="1">
        <v>943.77518525921823</v>
      </c>
      <c r="R60" s="1">
        <v>435.71559145071154</v>
      </c>
      <c r="S60" s="1"/>
    </row>
    <row r="61" spans="1:19" x14ac:dyDescent="0.15">
      <c r="A61">
        <v>34</v>
      </c>
      <c r="B61" s="1">
        <v>937.48939281431808</v>
      </c>
      <c r="C61" s="1">
        <v>450.58750770915987</v>
      </c>
      <c r="D61" s="1">
        <v>356.46620687151199</v>
      </c>
      <c r="E61" s="1">
        <v>219.17266222010068</v>
      </c>
      <c r="F61" s="1">
        <v>289.41806041453276</v>
      </c>
      <c r="G61" s="1">
        <v>181.03503839721023</v>
      </c>
      <c r="H61" s="1">
        <v>237.84940831300253</v>
      </c>
      <c r="I61" s="1">
        <v>140.73393588183302</v>
      </c>
      <c r="J61" s="1">
        <v>165.35904241388005</v>
      </c>
      <c r="K61" s="1">
        <v>69.716941292982199</v>
      </c>
      <c r="L61" s="1">
        <v>31.727547196030528</v>
      </c>
      <c r="M61" s="1">
        <v>2.1397473427767886</v>
      </c>
      <c r="N61" s="16">
        <v>2545.3281170099417</v>
      </c>
      <c r="O61" s="16">
        <v>1536.5863030595201</v>
      </c>
      <c r="P61" s="1">
        <v>4081.9144200694618</v>
      </c>
      <c r="Q61" s="1">
        <v>937.48939281431808</v>
      </c>
      <c r="R61" s="1">
        <v>440.07838504418612</v>
      </c>
      <c r="S61" s="1"/>
    </row>
    <row r="62" spans="1:19" x14ac:dyDescent="0.15">
      <c r="A62">
        <v>35</v>
      </c>
      <c r="B62" s="1">
        <v>905.65683589480705</v>
      </c>
      <c r="C62" s="1">
        <v>454.70339905881394</v>
      </c>
      <c r="D62" s="1">
        <v>303.77686374990208</v>
      </c>
      <c r="E62" s="1">
        <v>313.69026204693051</v>
      </c>
      <c r="F62" s="1">
        <v>195.06366937588962</v>
      </c>
      <c r="G62" s="1">
        <v>260.47625437307948</v>
      </c>
      <c r="H62" s="1">
        <v>159.310833789545</v>
      </c>
      <c r="I62" s="1">
        <v>204.55049114918216</v>
      </c>
      <c r="J62" s="1">
        <v>109.77246998782975</v>
      </c>
      <c r="K62" s="1">
        <v>102.52260629660563</v>
      </c>
      <c r="L62" s="1">
        <v>20.91508238789466</v>
      </c>
      <c r="M62" s="1">
        <v>3.172754719603053</v>
      </c>
      <c r="N62" s="16">
        <v>2501.254925574503</v>
      </c>
      <c r="O62" s="16">
        <v>1486.0974011876424</v>
      </c>
      <c r="P62" s="1">
        <v>3987.3523267621454</v>
      </c>
      <c r="Q62" s="1">
        <v>905.65683589480705</v>
      </c>
      <c r="R62" s="1">
        <v>417.31350129785102</v>
      </c>
      <c r="S62" s="1"/>
    </row>
    <row r="63" spans="1:19" x14ac:dyDescent="0.15">
      <c r="A63">
        <v>36</v>
      </c>
      <c r="B63" s="1">
        <v>900.10354612004858</v>
      </c>
      <c r="C63" s="1">
        <v>430.81546578974508</v>
      </c>
      <c r="D63" s="1">
        <v>344.40561624831798</v>
      </c>
      <c r="E63" s="1">
        <v>211.44828503603566</v>
      </c>
      <c r="F63" s="1">
        <v>279.18433322176816</v>
      </c>
      <c r="G63" s="1">
        <v>175.55730243830067</v>
      </c>
      <c r="H63" s="1">
        <v>229.21910384830997</v>
      </c>
      <c r="I63" s="1">
        <v>137.0073170590087</v>
      </c>
      <c r="J63" s="1">
        <v>159.54938309636211</v>
      </c>
      <c r="K63" s="1">
        <v>68.05893139245444</v>
      </c>
      <c r="L63" s="1">
        <v>30.756781888981685</v>
      </c>
      <c r="M63" s="1">
        <v>2.0915082387894661</v>
      </c>
      <c r="N63" s="16">
        <v>2460.2167468240268</v>
      </c>
      <c r="O63" s="16">
        <v>1473.4983221261045</v>
      </c>
      <c r="P63" s="1">
        <v>3933.7150689501314</v>
      </c>
      <c r="Q63" s="1">
        <v>900.10354612004858</v>
      </c>
      <c r="R63" s="1">
        <v>422.72777412754141</v>
      </c>
      <c r="S63" s="1"/>
    </row>
    <row r="64" spans="1:19" x14ac:dyDescent="0.15">
      <c r="A64">
        <v>37</v>
      </c>
      <c r="B64" s="1">
        <v>865.44325322272766</v>
      </c>
      <c r="C64" s="1">
        <v>437.25018136455083</v>
      </c>
      <c r="D64" s="1">
        <v>289.09630929581061</v>
      </c>
      <c r="E64" s="1">
        <v>303.07694229851978</v>
      </c>
      <c r="F64" s="1">
        <v>188.18897368207175</v>
      </c>
      <c r="G64" s="1">
        <v>251.26589989959137</v>
      </c>
      <c r="H64" s="1">
        <v>154.49042614570459</v>
      </c>
      <c r="I64" s="1">
        <v>197.12842930954656</v>
      </c>
      <c r="J64" s="1">
        <v>106.86570730602678</v>
      </c>
      <c r="K64" s="1">
        <v>98.920617519744511</v>
      </c>
      <c r="L64" s="1">
        <v>20.417679417736331</v>
      </c>
      <c r="M64" s="1">
        <v>3.075678188898169</v>
      </c>
      <c r="N64" s="16">
        <v>2412.5309739647432</v>
      </c>
      <c r="O64" s="16">
        <v>1421.1098536361069</v>
      </c>
      <c r="P64" s="1">
        <v>3833.6408276008501</v>
      </c>
      <c r="Q64" s="1">
        <v>865.44325322272766</v>
      </c>
      <c r="R64" s="1">
        <v>399.45730085645692</v>
      </c>
      <c r="S64" s="1"/>
    </row>
    <row r="65" spans="1:19" x14ac:dyDescent="0.15">
      <c r="A65">
        <v>38</v>
      </c>
      <c r="B65" s="1">
        <v>859.23024098080259</v>
      </c>
      <c r="C65" s="1">
        <v>410.05262649337948</v>
      </c>
      <c r="D65" s="1">
        <v>333.02667750270984</v>
      </c>
      <c r="E65" s="1">
        <v>202.90805243890981</v>
      </c>
      <c r="F65" s="1">
        <v>269.73847864568262</v>
      </c>
      <c r="G65" s="1">
        <v>169.37007631386459</v>
      </c>
      <c r="H65" s="1">
        <v>221.11399191164043</v>
      </c>
      <c r="I65" s="1">
        <v>132.86176648530594</v>
      </c>
      <c r="J65" s="1">
        <v>153.76017486144633</v>
      </c>
      <c r="K65" s="1">
        <v>66.256738529736609</v>
      </c>
      <c r="L65" s="1">
        <v>29.67618525592335</v>
      </c>
      <c r="M65" s="1">
        <v>2.041767941773633</v>
      </c>
      <c r="N65" s="16">
        <v>2367.7471777918659</v>
      </c>
      <c r="O65" s="16">
        <v>1406.7031608398654</v>
      </c>
      <c r="P65" s="1">
        <v>3774.450338631731</v>
      </c>
      <c r="Q65" s="1">
        <v>859.23024098080259</v>
      </c>
      <c r="R65" s="1">
        <v>404.78835463980391</v>
      </c>
      <c r="S65" s="1"/>
    </row>
    <row r="66" spans="1:19" x14ac:dyDescent="0.15">
      <c r="A66">
        <v>39</v>
      </c>
      <c r="B66" s="1">
        <v>825.0147219270043</v>
      </c>
      <c r="C66" s="1">
        <v>418.03624357345711</v>
      </c>
      <c r="D66" s="1">
        <v>272.22615992829367</v>
      </c>
      <c r="E66" s="1">
        <v>293.06347620238466</v>
      </c>
      <c r="F66" s="1">
        <v>180.58816667062973</v>
      </c>
      <c r="G66" s="1">
        <v>242.76463078111436</v>
      </c>
      <c r="H66" s="1">
        <v>149.04566715620084</v>
      </c>
      <c r="I66" s="1">
        <v>190.15803304401072</v>
      </c>
      <c r="J66" s="1">
        <v>103.63217785853864</v>
      </c>
      <c r="K66" s="1">
        <v>95.331308414096725</v>
      </c>
      <c r="L66" s="1">
        <v>19.877021558920983</v>
      </c>
      <c r="M66" s="1">
        <v>2.9676185255923349</v>
      </c>
      <c r="N66" s="16">
        <v>2317.3216529485253</v>
      </c>
      <c r="O66" s="16">
        <v>1357.7298463396542</v>
      </c>
      <c r="P66" s="1">
        <v>3675.0514992881795</v>
      </c>
      <c r="Q66" s="1">
        <v>825.0147219270043</v>
      </c>
      <c r="R66" s="1">
        <v>384.27317705598114</v>
      </c>
      <c r="S66" s="1"/>
    </row>
    <row r="67" spans="1:19" x14ac:dyDescent="0.15">
      <c r="A67">
        <v>40</v>
      </c>
      <c r="B67" s="1">
        <v>816.10528343212036</v>
      </c>
      <c r="C67" s="1">
        <v>389.76034017354709</v>
      </c>
      <c r="D67" s="1">
        <v>321.50517140949461</v>
      </c>
      <c r="E67" s="1">
        <v>193.89839290984457</v>
      </c>
      <c r="F67" s="1">
        <v>260.82649382012232</v>
      </c>
      <c r="G67" s="1">
        <v>162.5293500035668</v>
      </c>
      <c r="H67" s="1">
        <v>213.63287508738063</v>
      </c>
      <c r="I67" s="1">
        <v>128.17927375433271</v>
      </c>
      <c r="J67" s="1">
        <v>148.32326577432835</v>
      </c>
      <c r="K67" s="1">
        <v>64.251950272293954</v>
      </c>
      <c r="L67" s="1">
        <v>28.599392524229017</v>
      </c>
      <c r="M67" s="1">
        <v>1.9877021558920984</v>
      </c>
      <c r="N67" s="16">
        <v>2269.0255512785347</v>
      </c>
      <c r="O67" s="16">
        <v>1339.7849577938296</v>
      </c>
      <c r="P67" s="1">
        <v>3608.8105090723643</v>
      </c>
      <c r="Q67" s="1">
        <v>816.10528343212036</v>
      </c>
      <c r="R67" s="1">
        <v>387.84525839722772</v>
      </c>
      <c r="S67" s="1"/>
    </row>
    <row r="68" spans="1:19" x14ac:dyDescent="0.15">
      <c r="A68">
        <v>41</v>
      </c>
      <c r="B68" s="1">
        <v>785.4903753240776</v>
      </c>
      <c r="C68" s="1">
        <v>397.1679971040885</v>
      </c>
      <c r="D68" s="1">
        <v>255.23289610515454</v>
      </c>
      <c r="E68" s="1">
        <v>282.92455084035527</v>
      </c>
      <c r="F68" s="1">
        <v>172.56956968976166</v>
      </c>
      <c r="G68" s="1">
        <v>234.7438444381101</v>
      </c>
      <c r="H68" s="1">
        <v>143.0258280031388</v>
      </c>
      <c r="I68" s="1">
        <v>183.72427257514735</v>
      </c>
      <c r="J68" s="1">
        <v>99.979833528379515</v>
      </c>
      <c r="K68" s="1">
        <v>91.960424780083571</v>
      </c>
      <c r="L68" s="1">
        <v>19.275585081688185</v>
      </c>
      <c r="M68" s="1">
        <v>2.8599392524229019</v>
      </c>
      <c r="N68" s="16">
        <v>2217.0767858839154</v>
      </c>
      <c r="O68" s="16">
        <v>1298.013080757315</v>
      </c>
      <c r="P68" s="1">
        <v>3515.0898666412304</v>
      </c>
      <c r="Q68" s="1">
        <v>785.4903753240776</v>
      </c>
      <c r="R68" s="1">
        <v>372.43976667557331</v>
      </c>
      <c r="S68" s="1"/>
    </row>
    <row r="69" spans="1:19" x14ac:dyDescent="0.15">
      <c r="A69">
        <v>42</v>
      </c>
      <c r="B69" s="1">
        <v>772.03420348120676</v>
      </c>
      <c r="C69" s="1">
        <v>370.84541659429914</v>
      </c>
      <c r="D69" s="1">
        <v>308.65842609744487</v>
      </c>
      <c r="E69" s="1">
        <v>184.84057517684451</v>
      </c>
      <c r="F69" s="1">
        <v>251.80285024791618</v>
      </c>
      <c r="G69" s="1">
        <v>155.31261272078549</v>
      </c>
      <c r="H69" s="1">
        <v>206.57458310553693</v>
      </c>
      <c r="I69" s="1">
        <v>123.00221208269936</v>
      </c>
      <c r="J69" s="1">
        <v>143.30493260861493</v>
      </c>
      <c r="K69" s="1">
        <v>61.987496787595305</v>
      </c>
      <c r="L69" s="1">
        <v>27.588127434025072</v>
      </c>
      <c r="M69" s="1">
        <v>1.9275585081688185</v>
      </c>
      <c r="N69" s="16">
        <v>2165.9705633037943</v>
      </c>
      <c r="O69" s="16">
        <v>1275.0187568998201</v>
      </c>
      <c r="P69" s="1">
        <v>3440.9893202036146</v>
      </c>
      <c r="Q69" s="1">
        <v>772.03420348120676</v>
      </c>
      <c r="R69" s="1">
        <v>372.71273213549853</v>
      </c>
      <c r="S69" s="1"/>
    </row>
    <row r="70" spans="1:19" x14ac:dyDescent="0.15">
      <c r="A70">
        <v>43</v>
      </c>
      <c r="B70" s="1">
        <v>746.46642021460036</v>
      </c>
      <c r="C70" s="1">
        <v>374.9847224788769</v>
      </c>
      <c r="D70" s="1">
        <v>240.10166921727941</v>
      </c>
      <c r="E70" s="1">
        <v>271.6194149657515</v>
      </c>
      <c r="F70" s="1">
        <v>164.50811190739162</v>
      </c>
      <c r="G70" s="1">
        <v>226.62256522312455</v>
      </c>
      <c r="H70" s="1">
        <v>136.67509919429125</v>
      </c>
      <c r="I70" s="1">
        <v>177.65414147076177</v>
      </c>
      <c r="J70" s="1">
        <v>95.941725424505506</v>
      </c>
      <c r="K70" s="1">
        <v>88.849058217341252</v>
      </c>
      <c r="L70" s="1">
        <v>18.596249036278593</v>
      </c>
      <c r="M70" s="1">
        <v>2.7588127434025074</v>
      </c>
      <c r="N70" s="16">
        <v>2113.368186830955</v>
      </c>
      <c r="O70" s="16">
        <v>1240.9772282287822</v>
      </c>
      <c r="P70" s="1">
        <v>3354.3454150597372</v>
      </c>
      <c r="Q70" s="1">
        <v>746.46642021460036</v>
      </c>
      <c r="R70" s="1">
        <v>362.85033380327087</v>
      </c>
      <c r="S70" s="1"/>
    </row>
    <row r="71" spans="1:19" x14ac:dyDescent="0.15">
      <c r="A71">
        <v>44</v>
      </c>
      <c r="B71" s="1">
        <v>727.72709716053566</v>
      </c>
      <c r="C71" s="1">
        <v>353.08570799828647</v>
      </c>
      <c r="D71" s="1">
        <v>293.38249033890423</v>
      </c>
      <c r="E71" s="1">
        <v>175.98533566971201</v>
      </c>
      <c r="F71" s="1">
        <v>241.74127931951881</v>
      </c>
      <c r="G71" s="1">
        <v>148.05730071665246</v>
      </c>
      <c r="H71" s="1">
        <v>199.42785739634965</v>
      </c>
      <c r="I71" s="1">
        <v>117.54058530709047</v>
      </c>
      <c r="J71" s="1">
        <v>138.57023034719418</v>
      </c>
      <c r="K71" s="1">
        <v>59.483869763193411</v>
      </c>
      <c r="L71" s="1">
        <v>26.654717465202374</v>
      </c>
      <c r="M71" s="1">
        <v>1.8596249036278594</v>
      </c>
      <c r="N71" s="16">
        <v>2060.2294948689105</v>
      </c>
      <c r="O71" s="16">
        <v>1212.2755923852301</v>
      </c>
      <c r="P71" s="1">
        <v>3272.5050872541406</v>
      </c>
      <c r="Q71" s="1">
        <v>727.72709716053566</v>
      </c>
      <c r="R71" s="1">
        <v>359.12623476370493</v>
      </c>
      <c r="S71" s="1"/>
    </row>
    <row r="72" spans="1:19" x14ac:dyDescent="0.15">
      <c r="A72">
        <v>45</v>
      </c>
      <c r="B72" s="1">
        <v>705.96578930540932</v>
      </c>
      <c r="C72" s="1">
        <v>351.9283511489113</v>
      </c>
      <c r="D72" s="1">
        <v>227.7701454456456</v>
      </c>
      <c r="E72" s="1">
        <v>258.17659149823572</v>
      </c>
      <c r="F72" s="1">
        <v>156.62694874604369</v>
      </c>
      <c r="G72" s="1">
        <v>217.56715138756692</v>
      </c>
      <c r="H72" s="1">
        <v>130.29042463065417</v>
      </c>
      <c r="I72" s="1">
        <v>171.5079573608607</v>
      </c>
      <c r="J72" s="1">
        <v>91.681656539530564</v>
      </c>
      <c r="K72" s="1">
        <v>85.913542815260399</v>
      </c>
      <c r="L72" s="1">
        <v>17.845160928958023</v>
      </c>
      <c r="M72" s="1">
        <v>2.6654717465202378</v>
      </c>
      <c r="N72" s="16">
        <v>2006.884431905298</v>
      </c>
      <c r="O72" s="16">
        <v>1182.597453786379</v>
      </c>
      <c r="P72" s="1">
        <v>3189.4818856916772</v>
      </c>
      <c r="Q72" s="1">
        <v>705.96578930540932</v>
      </c>
      <c r="R72" s="1">
        <v>352.88866266367529</v>
      </c>
      <c r="S72" s="1"/>
    </row>
    <row r="73" spans="1:19" x14ac:dyDescent="0.15">
      <c r="A73">
        <v>46</v>
      </c>
      <c r="B73" s="1">
        <v>682.7058858438121</v>
      </c>
      <c r="C73" s="1">
        <v>335.0540371040139</v>
      </c>
      <c r="D73" s="1">
        <v>275.18034737348228</v>
      </c>
      <c r="E73" s="1">
        <v>167.24220646680143</v>
      </c>
      <c r="F73" s="1">
        <v>229.77716643342978</v>
      </c>
      <c r="G73" s="1">
        <v>140.96425387143933</v>
      </c>
      <c r="H73" s="1">
        <v>191.45909322105891</v>
      </c>
      <c r="I73" s="1">
        <v>112.04976518236259</v>
      </c>
      <c r="J73" s="1">
        <v>133.77620674147136</v>
      </c>
      <c r="K73" s="1">
        <v>56.842627054508952</v>
      </c>
      <c r="L73" s="1">
        <v>25.774062844578118</v>
      </c>
      <c r="M73" s="1">
        <v>1.7845160928958024</v>
      </c>
      <c r="N73" s="16">
        <v>1951.9993265578391</v>
      </c>
      <c r="O73" s="16">
        <v>1148.6457508395697</v>
      </c>
      <c r="P73" s="1">
        <v>3100.6450773974088</v>
      </c>
      <c r="Q73" s="1">
        <v>682.7058858438121</v>
      </c>
      <c r="R73" s="1">
        <v>345.69896629621377</v>
      </c>
      <c r="S73" s="1"/>
    </row>
    <row r="74" spans="1:19" x14ac:dyDescent="0.15">
      <c r="A74">
        <v>47</v>
      </c>
      <c r="B74" s="1">
        <v>661.13527585289273</v>
      </c>
      <c r="C74" s="1">
        <v>328.25503588843492</v>
      </c>
      <c r="D74" s="1">
        <v>217.51361385375714</v>
      </c>
      <c r="E74" s="1">
        <v>242.15870568866438</v>
      </c>
      <c r="F74" s="1">
        <v>148.84556375545327</v>
      </c>
      <c r="G74" s="1">
        <v>206.79944979008678</v>
      </c>
      <c r="H74" s="1">
        <v>124.04854340686661</v>
      </c>
      <c r="I74" s="1">
        <v>164.65482017011064</v>
      </c>
      <c r="J74" s="1">
        <v>87.398816842242823</v>
      </c>
      <c r="K74" s="1">
        <v>82.941248179712233</v>
      </c>
      <c r="L74" s="1">
        <v>17.052788116352684</v>
      </c>
      <c r="M74" s="1">
        <v>2.5774062844578118</v>
      </c>
      <c r="N74" s="16">
        <v>1896.6336155615077</v>
      </c>
      <c r="O74" s="16">
        <v>1117.1118285212394</v>
      </c>
      <c r="P74" s="1">
        <v>3013.7454440827469</v>
      </c>
      <c r="Q74" s="1">
        <v>661.13527585289273</v>
      </c>
      <c r="R74" s="1">
        <v>339.39216281340219</v>
      </c>
      <c r="S74" s="1"/>
    </row>
    <row r="75" spans="1:19" x14ac:dyDescent="0.15">
      <c r="A75">
        <v>48</v>
      </c>
      <c r="B75" s="1">
        <v>635.19601655057056</v>
      </c>
      <c r="C75" s="1">
        <v>314.64953769953445</v>
      </c>
      <c r="D75" s="1">
        <v>254.42046995746924</v>
      </c>
      <c r="E75" s="1">
        <v>158.16823516263565</v>
      </c>
      <c r="F75" s="1">
        <v>215.52124806291133</v>
      </c>
      <c r="G75" s="1">
        <v>133.96100737990795</v>
      </c>
      <c r="H75" s="1">
        <v>181.98351581527635</v>
      </c>
      <c r="I75" s="1">
        <v>106.68174732990528</v>
      </c>
      <c r="J75" s="1">
        <v>128.43075973268631</v>
      </c>
      <c r="K75" s="1">
        <v>54.187266442190548</v>
      </c>
      <c r="L75" s="1">
        <v>24.882374453913666</v>
      </c>
      <c r="M75" s="1">
        <v>1.7052788116352684</v>
      </c>
      <c r="N75" s="16">
        <v>1839.3787750630877</v>
      </c>
      <c r="O75" s="16">
        <v>1079.1985093165154</v>
      </c>
      <c r="P75" s="1">
        <v>2918.577284379603</v>
      </c>
      <c r="Q75" s="1">
        <v>635.19601655057056</v>
      </c>
      <c r="R75" s="1">
        <v>330.30448160823698</v>
      </c>
      <c r="S75" s="1"/>
    </row>
    <row r="76" spans="1:19" x14ac:dyDescent="0.15">
      <c r="A76">
        <v>49</v>
      </c>
      <c r="B76" s="1">
        <v>609.26617517734269</v>
      </c>
      <c r="C76" s="1">
        <v>303.76516417547924</v>
      </c>
      <c r="D76" s="1">
        <v>207.10008149525629</v>
      </c>
      <c r="E76" s="1">
        <v>223.89001356257293</v>
      </c>
      <c r="F76" s="1">
        <v>140.76972929474573</v>
      </c>
      <c r="G76" s="1">
        <v>193.96912325662021</v>
      </c>
      <c r="H76" s="1">
        <v>117.885686494319</v>
      </c>
      <c r="I76" s="1">
        <v>156.50582360113768</v>
      </c>
      <c r="J76" s="1">
        <v>83.211762917326126</v>
      </c>
      <c r="K76" s="1">
        <v>79.627071034265512</v>
      </c>
      <c r="L76" s="1">
        <v>16.256179932657165</v>
      </c>
      <c r="M76" s="1">
        <v>2.4882374453913672</v>
      </c>
      <c r="N76" s="16">
        <v>1779.7968194328803</v>
      </c>
      <c r="O76" s="16">
        <v>1039.256813143099</v>
      </c>
      <c r="P76" s="1">
        <v>2819.0536325759795</v>
      </c>
      <c r="Q76" s="1">
        <v>609.26617517734269</v>
      </c>
      <c r="R76" s="1">
        <v>319.99916344603082</v>
      </c>
      <c r="S76" s="1"/>
    </row>
    <row r="77" spans="1:19" x14ac:dyDescent="0.15">
      <c r="A77">
        <v>50</v>
      </c>
      <c r="B77" s="1">
        <v>582.67376488137722</v>
      </c>
      <c r="C77" s="1">
        <v>289.92840512365746</v>
      </c>
      <c r="D77" s="1">
        <v>232.13853875629016</v>
      </c>
      <c r="E77" s="1">
        <v>148.1241745273521</v>
      </c>
      <c r="F77" s="1">
        <v>199.26211207068991</v>
      </c>
      <c r="G77" s="1">
        <v>126.69275636527117</v>
      </c>
      <c r="H77" s="1">
        <v>170.69282846582576</v>
      </c>
      <c r="I77" s="1">
        <v>101.38169038511434</v>
      </c>
      <c r="J77" s="1">
        <v>122.0745424088874</v>
      </c>
      <c r="K77" s="1">
        <v>51.591293008742198</v>
      </c>
      <c r="L77" s="1">
        <v>23.888121310279651</v>
      </c>
      <c r="M77" s="1">
        <v>1.6256179932657167</v>
      </c>
      <c r="N77" s="16">
        <v>1718.6300277909911</v>
      </c>
      <c r="O77" s="16">
        <v>998.77878547749992</v>
      </c>
      <c r="P77" s="1">
        <v>2717.408813268491</v>
      </c>
      <c r="Q77" s="1">
        <v>582.67376488137722</v>
      </c>
      <c r="R77" s="1">
        <v>310.89488684355138</v>
      </c>
      <c r="S77" s="1"/>
    </row>
    <row r="78" spans="1:19" x14ac:dyDescent="0.15">
      <c r="A78">
        <v>51</v>
      </c>
      <c r="B78" s="1">
        <v>548.78749940894807</v>
      </c>
      <c r="C78" s="1">
        <v>277.77909564943218</v>
      </c>
      <c r="D78" s="1">
        <v>193.6538898818757</v>
      </c>
      <c r="E78" s="1">
        <v>204.28191410553535</v>
      </c>
      <c r="F78" s="1">
        <v>131.83051532934337</v>
      </c>
      <c r="G78" s="1">
        <v>179.33590086362091</v>
      </c>
      <c r="H78" s="1">
        <v>111.48962560143863</v>
      </c>
      <c r="I78" s="1">
        <v>146.79583248061016</v>
      </c>
      <c r="J78" s="1">
        <v>79.077718500389182</v>
      </c>
      <c r="K78" s="1">
        <v>75.686216293510171</v>
      </c>
      <c r="L78" s="1">
        <v>15.47738790262266</v>
      </c>
      <c r="M78" s="1">
        <v>2.3888121310279651</v>
      </c>
      <c r="N78" s="16">
        <v>1652.4046511132935</v>
      </c>
      <c r="O78" s="16">
        <v>946.45669359240765</v>
      </c>
      <c r="P78" s="1">
        <v>2598.8613447057014</v>
      </c>
      <c r="Q78" s="1">
        <v>548.78749940894807</v>
      </c>
      <c r="R78" s="1">
        <v>294.23689661191338</v>
      </c>
      <c r="S78" s="1"/>
    </row>
    <row r="79" spans="1:19" x14ac:dyDescent="0.15">
      <c r="A79">
        <v>52</v>
      </c>
      <c r="B79" s="1">
        <v>522.87757464870651</v>
      </c>
      <c r="C79" s="1">
        <v>259.87412730703977</v>
      </c>
      <c r="D79" s="1">
        <v>209.54373881662156</v>
      </c>
      <c r="E79" s="1">
        <v>136.50315232258396</v>
      </c>
      <c r="F79" s="1">
        <v>181.81090355392647</v>
      </c>
      <c r="G79" s="1">
        <v>118.64746379640904</v>
      </c>
      <c r="H79" s="1">
        <v>157.8155927599864</v>
      </c>
      <c r="I79" s="1">
        <v>95.881078017237229</v>
      </c>
      <c r="J79" s="1">
        <v>114.50074933487595</v>
      </c>
      <c r="K79" s="1">
        <v>49.02818547024129</v>
      </c>
      <c r="L79" s="1">
        <v>22.70586488805305</v>
      </c>
      <c r="M79" s="1">
        <v>1.5477387902622661</v>
      </c>
      <c r="N79" s="16">
        <v>1585.3153192570139</v>
      </c>
      <c r="O79" s="16">
        <v>904.14666354004714</v>
      </c>
      <c r="P79" s="1">
        <v>2489.461982797061</v>
      </c>
      <c r="Q79" s="1">
        <v>522.87757464870651</v>
      </c>
      <c r="R79" s="1">
        <v>286.40566539689257</v>
      </c>
      <c r="S79" s="1"/>
    </row>
    <row r="80" spans="1:19" x14ac:dyDescent="0.15">
      <c r="A80">
        <v>53</v>
      </c>
      <c r="B80" s="1">
        <v>480.23684462302225</v>
      </c>
      <c r="C80" s="1">
        <v>249.4066271762278</v>
      </c>
      <c r="D80" s="1">
        <v>174.81007949369004</v>
      </c>
      <c r="E80" s="1">
        <v>184.398490158627</v>
      </c>
      <c r="F80" s="1">
        <v>121.48780556709973</v>
      </c>
      <c r="G80" s="1">
        <v>163.62981319853381</v>
      </c>
      <c r="H80" s="1">
        <v>104.40976814083996</v>
      </c>
      <c r="I80" s="1">
        <v>135.72140977358831</v>
      </c>
      <c r="J80" s="1">
        <v>74.787240853445041</v>
      </c>
      <c r="K80" s="1">
        <v>70.99046458762308</v>
      </c>
      <c r="L80" s="1">
        <v>14.708455641072387</v>
      </c>
      <c r="M80" s="1">
        <v>2.2705864888053053</v>
      </c>
      <c r="N80" s="16">
        <v>1510.8009959437113</v>
      </c>
      <c r="O80" s="16">
        <v>840.17201838525489</v>
      </c>
      <c r="P80" s="1">
        <v>2350.9730143289662</v>
      </c>
      <c r="Q80" s="1">
        <v>480.23684462302225</v>
      </c>
      <c r="R80" s="1">
        <v>263.84752615518147</v>
      </c>
      <c r="S80" s="1"/>
    </row>
    <row r="81" spans="1:19" x14ac:dyDescent="0.15">
      <c r="A81">
        <v>54</v>
      </c>
      <c r="B81" s="1">
        <v>454.98312288511477</v>
      </c>
      <c r="C81" s="1">
        <v>225.0246381039633</v>
      </c>
      <c r="D81" s="1">
        <v>187.53159555094825</v>
      </c>
      <c r="E81" s="1">
        <v>122.95319628197764</v>
      </c>
      <c r="F81" s="1">
        <v>164.11465624117801</v>
      </c>
      <c r="G81" s="1">
        <v>109.33902501038976</v>
      </c>
      <c r="H81" s="1">
        <v>143.99423561470977</v>
      </c>
      <c r="I81" s="1">
        <v>89.792400601122367</v>
      </c>
      <c r="J81" s="1">
        <v>105.86269962339887</v>
      </c>
      <c r="K81" s="1">
        <v>46.368089329135927</v>
      </c>
      <c r="L81" s="1">
        <v>21.297139376286925</v>
      </c>
      <c r="M81" s="1">
        <v>1.4708455641072389</v>
      </c>
      <c r="N81" s="16">
        <v>1436.1298074821557</v>
      </c>
      <c r="O81" s="16">
        <v>795.71090110553371</v>
      </c>
      <c r="P81" s="1">
        <v>2231.8407085876893</v>
      </c>
      <c r="Q81" s="1">
        <v>454.98312288511477</v>
      </c>
      <c r="R81" s="1">
        <v>257.27123029373661</v>
      </c>
      <c r="S81" s="1"/>
    </row>
    <row r="82" spans="1:19" x14ac:dyDescent="0.15">
      <c r="A82">
        <v>55</v>
      </c>
      <c r="B82" s="1">
        <v>407.00406786445484</v>
      </c>
      <c r="C82" s="1">
        <v>217.974145986303</v>
      </c>
      <c r="D82" s="1">
        <v>149.83741265073294</v>
      </c>
      <c r="E82" s="1">
        <v>165.02780408483446</v>
      </c>
      <c r="F82" s="1">
        <v>109.4283446909601</v>
      </c>
      <c r="G82" s="1">
        <v>147.70319061706022</v>
      </c>
      <c r="H82" s="1">
        <v>96.218342009142987</v>
      </c>
      <c r="I82" s="1">
        <v>123.8350426286504</v>
      </c>
      <c r="J82" s="1">
        <v>70.038072468875455</v>
      </c>
      <c r="K82" s="1">
        <v>65.634873766507297</v>
      </c>
      <c r="L82" s="1">
        <v>13.910426798740778</v>
      </c>
      <c r="M82" s="1">
        <v>2.1297139376286927</v>
      </c>
      <c r="N82" s="16">
        <v>1353.6019550946437</v>
      </c>
      <c r="O82" s="16">
        <v>726.13375695214393</v>
      </c>
      <c r="P82" s="1">
        <v>2079.7357120467877</v>
      </c>
      <c r="Q82" s="1">
        <v>407.00406786445484</v>
      </c>
      <c r="R82" s="1">
        <v>232.29319065262555</v>
      </c>
      <c r="S82" s="1"/>
    </row>
    <row r="83" spans="1:19" x14ac:dyDescent="0.15">
      <c r="A83">
        <v>56</v>
      </c>
      <c r="B83" s="1">
        <v>380.64457746786604</v>
      </c>
      <c r="C83" s="1">
        <v>187.86490809035126</v>
      </c>
      <c r="D83" s="1">
        <v>166.32347841659586</v>
      </c>
      <c r="E83" s="1">
        <v>107.59475221714443</v>
      </c>
      <c r="F83" s="1">
        <v>146.87474563550268</v>
      </c>
      <c r="G83" s="1">
        <v>98.485510221864089</v>
      </c>
      <c r="H83" s="1">
        <v>129.97880774301299</v>
      </c>
      <c r="I83" s="1">
        <v>82.747774127862968</v>
      </c>
      <c r="J83" s="1">
        <v>96.591333250347304</v>
      </c>
      <c r="K83" s="1">
        <v>43.42360493070278</v>
      </c>
      <c r="L83" s="1">
        <v>19.690462129952188</v>
      </c>
      <c r="M83" s="1">
        <v>1.3910426798740778</v>
      </c>
      <c r="N83" s="16">
        <v>1271.0370595309828</v>
      </c>
      <c r="O83" s="16">
        <v>678.3489554407746</v>
      </c>
      <c r="P83" s="1">
        <v>1949.3860149717575</v>
      </c>
      <c r="Q83" s="1">
        <v>380.64457746786604</v>
      </c>
      <c r="R83" s="1">
        <v>225.3584773032938</v>
      </c>
      <c r="S83" s="1"/>
    </row>
    <row r="84" spans="1:19" x14ac:dyDescent="0.15">
      <c r="A84">
        <v>57</v>
      </c>
      <c r="B84" s="1">
        <v>334.8947832809626</v>
      </c>
      <c r="C84" s="1">
        <v>183.46513018958393</v>
      </c>
      <c r="D84" s="1">
        <v>120.52969627228219</v>
      </c>
      <c r="E84" s="1">
        <v>146.36466100660436</v>
      </c>
      <c r="F84" s="1">
        <v>95.759329473258546</v>
      </c>
      <c r="G84" s="1">
        <v>132.18727107195241</v>
      </c>
      <c r="H84" s="1">
        <v>86.667248995240399</v>
      </c>
      <c r="I84" s="1">
        <v>111.78177465899117</v>
      </c>
      <c r="J84" s="1">
        <v>64.543263819733113</v>
      </c>
      <c r="K84" s="1">
        <v>59.886626615215327</v>
      </c>
      <c r="L84" s="1">
        <v>13.027081479210835</v>
      </c>
      <c r="M84" s="1">
        <v>1.9690462129952189</v>
      </c>
      <c r="N84" s="16">
        <v>1183.3430970189856</v>
      </c>
      <c r="O84" s="16">
        <v>613.16268317305344</v>
      </c>
      <c r="P84" s="1">
        <v>1796.5057801920391</v>
      </c>
      <c r="Q84" s="1">
        <v>334.8947832809626</v>
      </c>
      <c r="R84" s="1">
        <v>203.60301399650024</v>
      </c>
      <c r="S84" s="1"/>
    </row>
    <row r="85" spans="1:19" x14ac:dyDescent="0.15">
      <c r="A85">
        <v>58</v>
      </c>
      <c r="B85" s="1">
        <v>304.39276750455207</v>
      </c>
      <c r="C85" s="1">
        <v>152.43998373171209</v>
      </c>
      <c r="D85" s="1">
        <v>145.20977880055284</v>
      </c>
      <c r="E85" s="1">
        <v>91.187301273440283</v>
      </c>
      <c r="F85" s="1">
        <v>130.26454829587789</v>
      </c>
      <c r="G85" s="1">
        <v>86.183396525932693</v>
      </c>
      <c r="H85" s="1">
        <v>116.32479854331811</v>
      </c>
      <c r="I85" s="1">
        <v>74.533834135906744</v>
      </c>
      <c r="J85" s="1">
        <v>87.189784234013118</v>
      </c>
      <c r="K85" s="1">
        <v>40.016823568234528</v>
      </c>
      <c r="L85" s="1">
        <v>17.965987984564599</v>
      </c>
      <c r="M85" s="1">
        <v>1.3027081479210836</v>
      </c>
      <c r="N85" s="16">
        <v>1094.7281271822919</v>
      </c>
      <c r="O85" s="16">
        <v>560.7405533982901</v>
      </c>
      <c r="P85" s="1">
        <v>1655.468680580582</v>
      </c>
      <c r="Q85" s="1">
        <v>304.39276750455207</v>
      </c>
      <c r="R85" s="1">
        <v>193.45105970742927</v>
      </c>
      <c r="S85" s="1"/>
    </row>
    <row r="86" spans="1:19" x14ac:dyDescent="0.15">
      <c r="A86">
        <v>59</v>
      </c>
      <c r="B86" s="1">
        <v>269.50606537215339</v>
      </c>
      <c r="C86" s="1">
        <v>146.90518575650853</v>
      </c>
      <c r="D86" s="1">
        <v>91.345166570307711</v>
      </c>
      <c r="E86" s="1">
        <v>127.78460534448649</v>
      </c>
      <c r="F86" s="1">
        <v>81.156698133361857</v>
      </c>
      <c r="G86" s="1">
        <v>117.23809346629011</v>
      </c>
      <c r="H86" s="1">
        <v>75.841388942820771</v>
      </c>
      <c r="I86" s="1">
        <v>100.03932674725358</v>
      </c>
      <c r="J86" s="1">
        <v>58.13639062600727</v>
      </c>
      <c r="K86" s="1">
        <v>54.057666225088127</v>
      </c>
      <c r="L86" s="1">
        <v>12.005047070470358</v>
      </c>
      <c r="M86" s="1">
        <v>1.79659879845646</v>
      </c>
      <c r="N86" s="16">
        <v>1006.5601102785665</v>
      </c>
      <c r="O86" s="16">
        <v>509.95766783961278</v>
      </c>
      <c r="P86" s="1">
        <v>1516.5177781181792</v>
      </c>
      <c r="Q86" s="1">
        <v>269.50606537215339</v>
      </c>
      <c r="R86" s="1">
        <v>180.63900660051851</v>
      </c>
      <c r="S86" s="1"/>
    </row>
    <row r="87" spans="1:19" x14ac:dyDescent="0.15">
      <c r="A87">
        <v>60</v>
      </c>
      <c r="B87" s="1">
        <v>232.58991333610345</v>
      </c>
      <c r="C87" s="1">
        <v>122.5025027766446</v>
      </c>
      <c r="D87" s="1">
        <v>122.59001437469257</v>
      </c>
      <c r="E87" s="1">
        <v>75.031563340823396</v>
      </c>
      <c r="F87" s="1">
        <v>113.72829875659298</v>
      </c>
      <c r="G87" s="1">
        <v>73.041028320025674</v>
      </c>
      <c r="H87" s="1">
        <v>103.16952225033529</v>
      </c>
      <c r="I87" s="1">
        <v>65.22359449082586</v>
      </c>
      <c r="J87" s="1">
        <v>78.030674862857808</v>
      </c>
      <c r="K87" s="1">
        <v>36.044562188124509</v>
      </c>
      <c r="L87" s="1">
        <v>16.217299867526439</v>
      </c>
      <c r="M87" s="1">
        <v>1.2005047070470358</v>
      </c>
      <c r="N87" s="16">
        <v>915.93909651610647</v>
      </c>
      <c r="O87" s="16">
        <v>452.46304987320167</v>
      </c>
      <c r="P87" s="1">
        <v>1368.4021463893082</v>
      </c>
      <c r="Q87" s="1">
        <v>232.58991333610345</v>
      </c>
      <c r="R87" s="1">
        <v>164.39613482277869</v>
      </c>
      <c r="S87" s="1"/>
    </row>
    <row r="88" spans="1:19" x14ac:dyDescent="0.15">
      <c r="A88">
        <v>61</v>
      </c>
      <c r="B88" s="1">
        <v>212.54012902301355</v>
      </c>
      <c r="C88" s="1">
        <v>110.54543667757974</v>
      </c>
      <c r="D88" s="1">
        <v>68.615381824341057</v>
      </c>
      <c r="E88" s="1">
        <v>107.87921264972945</v>
      </c>
      <c r="F88" s="1">
        <v>66.778091373332828</v>
      </c>
      <c r="G88" s="1">
        <v>102.35546888093369</v>
      </c>
      <c r="H88" s="1">
        <v>64.27610492162259</v>
      </c>
      <c r="I88" s="1">
        <v>88.725789135288366</v>
      </c>
      <c r="J88" s="1">
        <v>50.874403702844162</v>
      </c>
      <c r="K88" s="1">
        <v>48.379018414971839</v>
      </c>
      <c r="L88" s="1">
        <v>10.813368656437353</v>
      </c>
      <c r="M88" s="1">
        <v>1.6217299867526438</v>
      </c>
      <c r="N88" s="16">
        <v>831.63478074720399</v>
      </c>
      <c r="O88" s="16">
        <v>420.27482754740902</v>
      </c>
      <c r="P88" s="1">
        <v>1251.909608294613</v>
      </c>
      <c r="Q88" s="1">
        <v>212.54012902301355</v>
      </c>
      <c r="R88" s="1">
        <v>163.04031142625371</v>
      </c>
      <c r="S88" s="1"/>
    </row>
    <row r="89" spans="1:19" x14ac:dyDescent="0.15">
      <c r="A89">
        <v>62</v>
      </c>
      <c r="B89" s="1">
        <v>171.26520613435733</v>
      </c>
      <c r="C89" s="1">
        <v>98.829382854140391</v>
      </c>
      <c r="D89" s="1">
        <v>96.174529909494368</v>
      </c>
      <c r="E89" s="1">
        <v>60.381536005420131</v>
      </c>
      <c r="F89" s="1">
        <v>96.012499258259226</v>
      </c>
      <c r="G89" s="1">
        <v>60.100282235999536</v>
      </c>
      <c r="H89" s="1">
        <v>90.07281261522165</v>
      </c>
      <c r="I89" s="1">
        <v>55.277450232595427</v>
      </c>
      <c r="J89" s="1">
        <v>69.206115525524922</v>
      </c>
      <c r="K89" s="1">
        <v>31.542130295763382</v>
      </c>
      <c r="L89" s="1">
        <v>14.513705524491552</v>
      </c>
      <c r="M89" s="1">
        <v>1.0813368656437354</v>
      </c>
      <c r="N89" s="16">
        <v>744.37150758654184</v>
      </c>
      <c r="O89" s="16">
        <v>360.29783379466272</v>
      </c>
      <c r="P89" s="1">
        <v>1104.6693413812045</v>
      </c>
      <c r="Q89" s="1">
        <v>171.26520613435733</v>
      </c>
      <c r="R89" s="1">
        <v>140.45423317134396</v>
      </c>
      <c r="S89" s="1"/>
    </row>
    <row r="90" spans="1:19" x14ac:dyDescent="0.15">
      <c r="A90">
        <v>63</v>
      </c>
      <c r="B90" s="1">
        <v>160.56046657874211</v>
      </c>
      <c r="C90" s="1">
        <v>77.810262276243833</v>
      </c>
      <c r="D90" s="1">
        <v>54.13417363795849</v>
      </c>
      <c r="E90" s="1">
        <v>84.63358632035505</v>
      </c>
      <c r="F90" s="1">
        <v>53.739567044823914</v>
      </c>
      <c r="G90" s="1">
        <v>86.4112493324333</v>
      </c>
      <c r="H90" s="1">
        <v>52.888248367679594</v>
      </c>
      <c r="I90" s="1">
        <v>77.462618849090617</v>
      </c>
      <c r="J90" s="1">
        <v>43.116411181424432</v>
      </c>
      <c r="K90" s="1">
        <v>42.907791625825453</v>
      </c>
      <c r="L90" s="1">
        <v>9.4626390887290146</v>
      </c>
      <c r="M90" s="1">
        <v>1.4513705524491554</v>
      </c>
      <c r="N90" s="16">
        <v>665.73007063959744</v>
      </c>
      <c r="O90" s="16">
        <v>339.28738339605627</v>
      </c>
      <c r="P90" s="1">
        <v>1005.0174540356537</v>
      </c>
      <c r="Q90" s="1">
        <v>160.56046657874211</v>
      </c>
      <c r="R90" s="1">
        <v>145.59615043748096</v>
      </c>
      <c r="S90" s="1"/>
    </row>
    <row r="91" spans="1:19" x14ac:dyDescent="0.15">
      <c r="A91">
        <v>64</v>
      </c>
      <c r="B91" s="1">
        <v>120.28531356541535</v>
      </c>
      <c r="C91" s="1">
        <v>77.961083824658331</v>
      </c>
      <c r="D91" s="1">
        <v>67.675730201052957</v>
      </c>
      <c r="E91" s="1">
        <v>47.618592314344809</v>
      </c>
      <c r="F91" s="1">
        <v>75.323891825115993</v>
      </c>
      <c r="G91" s="1">
        <v>48.365610340341526</v>
      </c>
      <c r="H91" s="1">
        <v>76.041899412541298</v>
      </c>
      <c r="I91" s="1">
        <v>45.483893596204453</v>
      </c>
      <c r="J91" s="1">
        <v>60.420842702290685</v>
      </c>
      <c r="K91" s="1">
        <v>26.732174932483147</v>
      </c>
      <c r="L91" s="1">
        <v>12.872337487747638</v>
      </c>
      <c r="M91" s="1">
        <v>0.94626390887290146</v>
      </c>
      <c r="N91" s="16">
        <v>585.34535901377171</v>
      </c>
      <c r="O91" s="16">
        <v>279.51833940739857</v>
      </c>
      <c r="P91" s="1">
        <v>864.86369842117028</v>
      </c>
      <c r="Q91" s="1">
        <v>120.28531356541535</v>
      </c>
      <c r="R91" s="1">
        <v>118.93971770716075</v>
      </c>
      <c r="S91" s="1"/>
    </row>
    <row r="92" spans="1:19" x14ac:dyDescent="0.15">
      <c r="A92">
        <v>65</v>
      </c>
      <c r="B92" s="1">
        <v>110.74717665661437</v>
      </c>
      <c r="C92" s="1">
        <v>50.453165853877536</v>
      </c>
      <c r="D92" s="1">
        <v>46.969097681867886</v>
      </c>
      <c r="E92" s="1">
        <v>59.554642576926604</v>
      </c>
      <c r="F92" s="1">
        <v>42.380547159766891</v>
      </c>
      <c r="G92" s="1">
        <v>67.791502642604399</v>
      </c>
      <c r="H92" s="1">
        <v>42.56173709950054</v>
      </c>
      <c r="I92" s="1">
        <v>65.396033494785513</v>
      </c>
      <c r="J92" s="1">
        <v>35.477437005039477</v>
      </c>
      <c r="K92" s="1">
        <v>37.460922475420219</v>
      </c>
      <c r="L92" s="1">
        <v>8.0196524797449431</v>
      </c>
      <c r="M92" s="1">
        <v>1.2872337487747638</v>
      </c>
      <c r="N92" s="16">
        <v>512.52258313262871</v>
      </c>
      <c r="O92" s="16">
        <v>257.95222763505467</v>
      </c>
      <c r="P92" s="1">
        <v>770.47481076768338</v>
      </c>
      <c r="Q92" s="1">
        <v>110.74717665661437</v>
      </c>
      <c r="R92" s="1">
        <v>121.84383290955866</v>
      </c>
      <c r="S92" s="1"/>
    </row>
    <row r="93" spans="1:19" x14ac:dyDescent="0.15">
      <c r="A93">
        <v>66</v>
      </c>
      <c r="B93" s="1">
        <v>78.723349380852554</v>
      </c>
      <c r="C93" s="1">
        <v>56.713062221704938</v>
      </c>
      <c r="D93" s="1">
        <v>38.585339267593127</v>
      </c>
      <c r="E93" s="1">
        <v>35.972799277760124</v>
      </c>
      <c r="F93" s="1">
        <v>53.003631893464679</v>
      </c>
      <c r="G93" s="1">
        <v>38.142492443790204</v>
      </c>
      <c r="H93" s="1">
        <v>59.656522325491871</v>
      </c>
      <c r="I93" s="1">
        <v>36.603093905570461</v>
      </c>
      <c r="J93" s="1">
        <v>51.008906125932704</v>
      </c>
      <c r="K93" s="1">
        <v>21.996010943124475</v>
      </c>
      <c r="L93" s="1">
        <v>11.238276742626066</v>
      </c>
      <c r="M93" s="1">
        <v>0.80196524797449431</v>
      </c>
      <c r="N93" s="16">
        <v>441.29833802035483</v>
      </c>
      <c r="O93" s="16">
        <v>205.52416023542088</v>
      </c>
      <c r="P93" s="1">
        <v>646.82249825577571</v>
      </c>
      <c r="Q93" s="1">
        <v>78.723349380852554</v>
      </c>
      <c r="R93" s="1">
        <v>97.12928273435756</v>
      </c>
      <c r="S93" s="1"/>
    </row>
    <row r="94" spans="1:19" x14ac:dyDescent="0.15">
      <c r="A94">
        <v>67</v>
      </c>
      <c r="B94" s="1">
        <v>63.890475559707326</v>
      </c>
      <c r="C94" s="1">
        <v>29.73358286232617</v>
      </c>
      <c r="D94" s="1">
        <v>42.389218130474561</v>
      </c>
      <c r="E94" s="1">
        <v>33.955098555481953</v>
      </c>
      <c r="F94" s="1">
        <v>32.01579135720651</v>
      </c>
      <c r="G94" s="1">
        <v>47.703268704118216</v>
      </c>
      <c r="H94" s="1">
        <v>33.565393350535381</v>
      </c>
      <c r="I94" s="1">
        <v>51.304609199923014</v>
      </c>
      <c r="J94" s="1">
        <v>28.550413246344959</v>
      </c>
      <c r="K94" s="1">
        <v>31.625521798078275</v>
      </c>
      <c r="L94" s="1">
        <v>6.5988032829373422</v>
      </c>
      <c r="M94" s="1">
        <v>1.1238276742626068</v>
      </c>
      <c r="N94" s="16">
        <v>374.49190607809015</v>
      </c>
      <c r="O94" s="16">
        <v>171.84401925750291</v>
      </c>
      <c r="P94" s="1">
        <v>546.33592533559306</v>
      </c>
      <c r="Q94" s="1">
        <v>63.890475559707319</v>
      </c>
      <c r="R94" s="1">
        <v>87.716773792674147</v>
      </c>
      <c r="S94" s="1"/>
    </row>
    <row r="95" spans="1:19" x14ac:dyDescent="0.15">
      <c r="A95">
        <v>68</v>
      </c>
      <c r="B95" s="1">
        <v>44.765477666600653</v>
      </c>
      <c r="C95" s="1">
        <v>34.336121468828836</v>
      </c>
      <c r="D95" s="1">
        <v>20.042712837647041</v>
      </c>
      <c r="E95" s="1">
        <v>30.954452177629594</v>
      </c>
      <c r="F95" s="1">
        <v>30.22003771437894</v>
      </c>
      <c r="G95" s="1">
        <v>28.81421222148586</v>
      </c>
      <c r="H95" s="1">
        <v>41.978876459624026</v>
      </c>
      <c r="I95" s="1">
        <v>28.866238281460426</v>
      </c>
      <c r="J95" s="1">
        <v>40.017595175939952</v>
      </c>
      <c r="K95" s="1">
        <v>17.701256212733874</v>
      </c>
      <c r="L95" s="1">
        <v>9.4876565394234831</v>
      </c>
      <c r="M95" s="1">
        <v>0.65988032829373422</v>
      </c>
      <c r="N95" s="16">
        <v>313.26608388849218</v>
      </c>
      <c r="O95" s="16">
        <v>133.95539749950478</v>
      </c>
      <c r="P95" s="1">
        <v>447.22148138799696</v>
      </c>
      <c r="Q95" s="1">
        <v>44.765477666600653</v>
      </c>
      <c r="R95" s="1">
        <v>71.374309336146439</v>
      </c>
      <c r="S95" s="1"/>
    </row>
    <row r="96" spans="1:19" x14ac:dyDescent="0.15">
      <c r="A96">
        <v>69</v>
      </c>
      <c r="B96" s="1">
        <v>31.293378536613481</v>
      </c>
      <c r="C96" s="1">
        <v>15.396017669081996</v>
      </c>
      <c r="D96" s="1">
        <v>29.872425677881083</v>
      </c>
      <c r="E96" s="1">
        <v>17.637587297129397</v>
      </c>
      <c r="F96" s="1">
        <v>22.083010698645388</v>
      </c>
      <c r="G96" s="1">
        <v>27.198033942941045</v>
      </c>
      <c r="H96" s="1">
        <v>25.356506754907556</v>
      </c>
      <c r="I96" s="1">
        <v>36.101833755276658</v>
      </c>
      <c r="J96" s="1">
        <v>22.515665859539133</v>
      </c>
      <c r="K96" s="1">
        <v>24.810909009082771</v>
      </c>
      <c r="L96" s="1">
        <v>5.3103768638201618</v>
      </c>
      <c r="M96" s="1">
        <v>0.94876565394234835</v>
      </c>
      <c r="N96" s="16">
        <v>257.1627794507566</v>
      </c>
      <c r="O96" s="16">
        <v>101.9751161699033</v>
      </c>
      <c r="P96" s="1">
        <v>359.13789562065989</v>
      </c>
      <c r="Q96" s="1">
        <v>31.293378536613481</v>
      </c>
      <c r="R96" s="1">
        <v>56.844300902201141</v>
      </c>
      <c r="S96" s="1"/>
    </row>
    <row r="97" spans="1:19" x14ac:dyDescent="0.15">
      <c r="A97">
        <v>70</v>
      </c>
      <c r="B97" s="1">
        <v>19.091798503534122</v>
      </c>
      <c r="C97" s="1">
        <v>17.581323837310819</v>
      </c>
      <c r="D97" s="1">
        <v>11.397147364387992</v>
      </c>
      <c r="E97" s="1">
        <v>26.287734596535355</v>
      </c>
      <c r="F97" s="1">
        <v>15.697452694445165</v>
      </c>
      <c r="G97" s="1">
        <v>19.874709628780849</v>
      </c>
      <c r="H97" s="1">
        <v>23.934269869788121</v>
      </c>
      <c r="I97" s="1">
        <v>21.806595809220493</v>
      </c>
      <c r="J97" s="1">
        <v>28.1594303291158</v>
      </c>
      <c r="K97" s="1">
        <v>13.959712832914263</v>
      </c>
      <c r="L97" s="1">
        <v>7.4432727027248298</v>
      </c>
      <c r="M97" s="1">
        <v>0.53103768638201621</v>
      </c>
      <c r="N97" s="16">
        <v>206.77469041394093</v>
      </c>
      <c r="O97" s="16">
        <v>70.841619808454169</v>
      </c>
      <c r="P97" s="1">
        <v>277.6163102223951</v>
      </c>
      <c r="Q97" s="1">
        <v>19.091798503534122</v>
      </c>
      <c r="R97" s="1">
        <v>41.575083348874003</v>
      </c>
      <c r="S97" s="1"/>
    </row>
    <row r="98" spans="1:19" x14ac:dyDescent="0.15">
      <c r="A98">
        <v>71</v>
      </c>
      <c r="B98" s="1">
        <v>13.548655520506053</v>
      </c>
      <c r="C98" s="1">
        <v>5.5870239140742255</v>
      </c>
      <c r="D98" s="1">
        <v>15.295751738460414</v>
      </c>
      <c r="E98" s="1">
        <v>10.029489680661433</v>
      </c>
      <c r="F98" s="1">
        <v>23.396083790916464</v>
      </c>
      <c r="G98" s="1">
        <v>14.127707425000651</v>
      </c>
      <c r="H98" s="1">
        <v>17.489744473327146</v>
      </c>
      <c r="I98" s="1">
        <v>20.583472088017785</v>
      </c>
      <c r="J98" s="1">
        <v>17.009144731191984</v>
      </c>
      <c r="K98" s="1">
        <v>17.458846804051795</v>
      </c>
      <c r="L98" s="1">
        <v>4.1879138498742785</v>
      </c>
      <c r="M98" s="1">
        <v>0.74432727027248302</v>
      </c>
      <c r="N98" s="16">
        <v>163.86719216217006</v>
      </c>
      <c r="O98" s="16">
        <v>55.445949213475828</v>
      </c>
      <c r="P98" s="1">
        <v>219.3131413756459</v>
      </c>
      <c r="Q98" s="1">
        <v>13.548655520506053</v>
      </c>
      <c r="R98" s="1">
        <v>35.122625618487767</v>
      </c>
      <c r="S98" s="1"/>
    </row>
    <row r="99" spans="1:19" x14ac:dyDescent="0.15">
      <c r="A99">
        <v>72</v>
      </c>
      <c r="B99" s="1">
        <v>8.1800136350088852</v>
      </c>
      <c r="C99" s="1">
        <v>8.4001664227137525</v>
      </c>
      <c r="D99" s="1">
        <v>4.860710805244576</v>
      </c>
      <c r="E99" s="1">
        <v>13.460261529845162</v>
      </c>
      <c r="F99" s="1">
        <v>8.9262458157886755</v>
      </c>
      <c r="G99" s="1">
        <v>21.05647541182482</v>
      </c>
      <c r="H99" s="1">
        <v>12.432382534000572</v>
      </c>
      <c r="I99" s="1">
        <v>15.041180247061344</v>
      </c>
      <c r="J99" s="1">
        <v>16.055108228653872</v>
      </c>
      <c r="K99" s="1">
        <v>10.545669733339031</v>
      </c>
      <c r="L99" s="1">
        <v>5.2376540412155386</v>
      </c>
      <c r="M99" s="1">
        <v>0.41879138498742785</v>
      </c>
      <c r="N99" s="16">
        <v>127.43758987639694</v>
      </c>
      <c r="O99" s="16">
        <v>40.200585044966665</v>
      </c>
      <c r="P99" s="1">
        <v>167.6381749213636</v>
      </c>
      <c r="Q99" s="1">
        <v>8.1800136350088852</v>
      </c>
      <c r="R99" s="1">
        <v>27.125609037868617</v>
      </c>
      <c r="S99" s="1"/>
    </row>
    <row r="100" spans="1:19" x14ac:dyDescent="0.15">
      <c r="A100">
        <v>73</v>
      </c>
      <c r="B100" s="1">
        <v>5.6831658316859661</v>
      </c>
      <c r="C100" s="1">
        <v>2.3937991901490001</v>
      </c>
      <c r="D100" s="1">
        <v>7.3081447877609644</v>
      </c>
      <c r="E100" s="1">
        <v>4.2774255086152273</v>
      </c>
      <c r="F100" s="1">
        <v>11.979632761562195</v>
      </c>
      <c r="G100" s="1">
        <v>8.0336212342098072</v>
      </c>
      <c r="H100" s="1">
        <v>18.529698362405838</v>
      </c>
      <c r="I100" s="1">
        <v>10.691848979240492</v>
      </c>
      <c r="J100" s="1">
        <v>11.732120592707849</v>
      </c>
      <c r="K100" s="1">
        <v>9.9541671017654014</v>
      </c>
      <c r="L100" s="1">
        <v>3.163700920001709</v>
      </c>
      <c r="M100" s="1">
        <v>0.52376540412155381</v>
      </c>
      <c r="N100" s="16">
        <v>97.327389168215092</v>
      </c>
      <c r="O100" s="16">
        <v>32.970436453154527</v>
      </c>
      <c r="P100" s="1">
        <v>130.29782562136961</v>
      </c>
      <c r="Q100" s="1">
        <v>5.6831658316859661</v>
      </c>
      <c r="R100" s="1">
        <v>23.881604416523601</v>
      </c>
      <c r="S100" s="1"/>
    </row>
    <row r="101" spans="1:19" x14ac:dyDescent="0.15">
      <c r="A101">
        <v>74</v>
      </c>
      <c r="B101" s="1">
        <v>3.4019429726517414</v>
      </c>
      <c r="C101" s="1">
        <v>3.5235628156452989</v>
      </c>
      <c r="D101" s="1">
        <v>2.0826052954296301</v>
      </c>
      <c r="E101" s="1">
        <v>6.431167413229649</v>
      </c>
      <c r="F101" s="1">
        <v>3.8069087026675525</v>
      </c>
      <c r="G101" s="1">
        <v>10.781669485405976</v>
      </c>
      <c r="H101" s="1">
        <v>7.0695866861046293</v>
      </c>
      <c r="I101" s="1">
        <v>15.935540591669023</v>
      </c>
      <c r="J101" s="1">
        <v>8.3396422038075837</v>
      </c>
      <c r="K101" s="1">
        <v>7.2739147674788667</v>
      </c>
      <c r="L101" s="1">
        <v>2.9862501305296201</v>
      </c>
      <c r="M101" s="1">
        <v>0.31637009200017091</v>
      </c>
      <c r="N101" s="16">
        <v>72.597785770758946</v>
      </c>
      <c r="O101" s="16">
        <v>25.075247876118798</v>
      </c>
      <c r="P101" s="1">
        <v>97.673033646877741</v>
      </c>
      <c r="Q101" s="1">
        <v>3.4019429726517414</v>
      </c>
      <c r="R101" s="1">
        <v>19.381463555772498</v>
      </c>
      <c r="S101" s="1"/>
    </row>
    <row r="102" spans="1:19" x14ac:dyDescent="0.15">
      <c r="A102">
        <v>75</v>
      </c>
      <c r="B102" s="1">
        <v>2.2531499652004361</v>
      </c>
      <c r="C102" s="1">
        <v>0.99554459151680541</v>
      </c>
      <c r="D102" s="1">
        <v>3.0654996496114104</v>
      </c>
      <c r="E102" s="1">
        <v>1.8326926599780746</v>
      </c>
      <c r="F102" s="1">
        <v>5.7237389977743884</v>
      </c>
      <c r="G102" s="1">
        <v>3.4262178324007975</v>
      </c>
      <c r="H102" s="1">
        <v>9.4878691471572587</v>
      </c>
      <c r="I102" s="1">
        <v>6.0798445500499811</v>
      </c>
      <c r="J102" s="1">
        <v>12.429721661501837</v>
      </c>
      <c r="K102" s="1">
        <v>5.170578166360702</v>
      </c>
      <c r="L102" s="1">
        <v>2.1821744302436601</v>
      </c>
      <c r="M102" s="1">
        <v>0.29862501305296207</v>
      </c>
      <c r="N102" s="16">
        <v>52.920210129825286</v>
      </c>
      <c r="O102" s="16">
        <v>21.282100991994888</v>
      </c>
      <c r="P102" s="1">
        <v>74.202311121820173</v>
      </c>
      <c r="Q102" s="1">
        <v>2.2531499652004361</v>
      </c>
      <c r="R102" s="1">
        <v>17.406717097840016</v>
      </c>
      <c r="S102" s="1"/>
    </row>
    <row r="103" spans="1:19" x14ac:dyDescent="0.15">
      <c r="A103">
        <v>76</v>
      </c>
      <c r="B103" s="1">
        <v>1.3063221120925199</v>
      </c>
      <c r="C103" s="1">
        <v>1.3969529784242702</v>
      </c>
      <c r="D103" s="1">
        <v>0.86612379461962075</v>
      </c>
      <c r="E103" s="1">
        <v>2.6976396916580412</v>
      </c>
      <c r="F103" s="1">
        <v>1.6310964673804866</v>
      </c>
      <c r="G103" s="1">
        <v>5.1513650979969494</v>
      </c>
      <c r="H103" s="1">
        <v>3.0150716925127012</v>
      </c>
      <c r="I103" s="1">
        <v>8.1595674665552433</v>
      </c>
      <c r="J103" s="1">
        <v>4.7422787490389844</v>
      </c>
      <c r="K103" s="1">
        <v>7.7064274301311393</v>
      </c>
      <c r="L103" s="1">
        <v>1.5511734499082106</v>
      </c>
      <c r="M103" s="1">
        <v>0.21821744302436602</v>
      </c>
      <c r="N103" s="16">
        <v>37.462966882304421</v>
      </c>
      <c r="O103" s="16">
        <v>16.78901189463641</v>
      </c>
      <c r="P103" s="1">
        <v>54.251978776940831</v>
      </c>
      <c r="Q103" s="1">
        <v>1.3063221120925199</v>
      </c>
      <c r="R103" s="1">
        <v>14.434727548831763</v>
      </c>
      <c r="S103" s="1"/>
    </row>
    <row r="104" spans="1:19" x14ac:dyDescent="0.15">
      <c r="A104">
        <v>77</v>
      </c>
      <c r="B104" s="1">
        <v>0.74515724993103571</v>
      </c>
      <c r="C104" s="1">
        <v>0.38228210288275505</v>
      </c>
      <c r="D104" s="1">
        <v>1.2153490912291152</v>
      </c>
      <c r="E104" s="1">
        <v>0.7621889392652661</v>
      </c>
      <c r="F104" s="1">
        <v>2.400899325575657</v>
      </c>
      <c r="G104" s="1">
        <v>1.4679868206424378</v>
      </c>
      <c r="H104" s="1">
        <v>4.5332012862373148</v>
      </c>
      <c r="I104" s="1">
        <v>2.5929616555609227</v>
      </c>
      <c r="J104" s="1">
        <v>6.3644626239130897</v>
      </c>
      <c r="K104" s="1">
        <v>2.9402128244041701</v>
      </c>
      <c r="L104" s="1">
        <v>2.3119282290393417</v>
      </c>
      <c r="M104" s="1">
        <v>0.15511734499082108</v>
      </c>
      <c r="N104" s="16">
        <v>25.802826577261541</v>
      </c>
      <c r="O104" s="16">
        <v>13.384567046012029</v>
      </c>
      <c r="P104" s="1">
        <v>39.187393623273572</v>
      </c>
      <c r="Q104" s="1">
        <v>0.74515724993103571</v>
      </c>
      <c r="R104" s="1">
        <v>11.882092548668329</v>
      </c>
      <c r="S104" s="1"/>
    </row>
    <row r="105" spans="1:19" x14ac:dyDescent="0.15">
      <c r="A105">
        <v>78</v>
      </c>
      <c r="B105" s="1">
        <v>0.34242487040723757</v>
      </c>
      <c r="C105" s="1">
        <v>0.46199749495724207</v>
      </c>
      <c r="D105" s="1">
        <v>0.33258542950799697</v>
      </c>
      <c r="E105" s="1">
        <v>1.0695072002816213</v>
      </c>
      <c r="F105" s="1">
        <v>0.67834815594608699</v>
      </c>
      <c r="G105" s="1">
        <v>2.1608093930180914</v>
      </c>
      <c r="H105" s="1">
        <v>1.2918284021653452</v>
      </c>
      <c r="I105" s="1">
        <v>3.898553106164091</v>
      </c>
      <c r="J105" s="1">
        <v>2.0225100913375202</v>
      </c>
      <c r="K105" s="1">
        <v>3.9459668268261154</v>
      </c>
      <c r="L105" s="1">
        <v>0.88206384732125098</v>
      </c>
      <c r="M105" s="1">
        <v>0.23119282290393417</v>
      </c>
      <c r="N105" s="16">
        <v>17.234631117652818</v>
      </c>
      <c r="O105" s="16">
        <v>8.9795412464263489</v>
      </c>
      <c r="P105" s="1">
        <v>26.214172364079168</v>
      </c>
      <c r="Q105" s="1">
        <v>0.34242487040723757</v>
      </c>
      <c r="R105" s="1">
        <v>8.1925952415514178</v>
      </c>
      <c r="S105" s="1"/>
    </row>
    <row r="106" spans="1:19" x14ac:dyDescent="0.15">
      <c r="A106">
        <v>79</v>
      </c>
      <c r="B106" s="1">
        <v>0.16046553631723945</v>
      </c>
      <c r="C106" s="1">
        <v>0.10020721407597399</v>
      </c>
      <c r="D106" s="1">
        <v>0.40193782061280059</v>
      </c>
      <c r="E106" s="1">
        <v>0.29267517796703735</v>
      </c>
      <c r="F106" s="1">
        <v>0.95186140825064292</v>
      </c>
      <c r="G106" s="1">
        <v>0.61051334035147842</v>
      </c>
      <c r="H106" s="1">
        <v>1.9015122658559203</v>
      </c>
      <c r="I106" s="1">
        <v>1.1109724258621969</v>
      </c>
      <c r="J106" s="1">
        <v>3.0408714228079914</v>
      </c>
      <c r="K106" s="1">
        <v>1.2539562566292626</v>
      </c>
      <c r="L106" s="1">
        <v>1.1837900480478347</v>
      </c>
      <c r="M106" s="1">
        <v>8.8206384732125109E-2</v>
      </c>
      <c r="N106" s="16">
        <v>11.20884046564395</v>
      </c>
      <c r="O106" s="16">
        <v>6.2694127115098226</v>
      </c>
      <c r="P106" s="1">
        <v>17.478253177153775</v>
      </c>
      <c r="Q106" s="1">
        <v>0.16046553631723945</v>
      </c>
      <c r="R106" s="1">
        <v>5.8395500633321396</v>
      </c>
      <c r="S106" s="1"/>
    </row>
    <row r="107" spans="1:19" x14ac:dyDescent="0.15">
      <c r="A107">
        <v>80</v>
      </c>
      <c r="B107" s="1">
        <v>6.6946729576997266E-2</v>
      </c>
      <c r="C107" s="1">
        <v>9.9488632516688463E-2</v>
      </c>
      <c r="D107" s="1">
        <v>8.7180276246097366E-2</v>
      </c>
      <c r="E107" s="1">
        <v>0.35370528213926455</v>
      </c>
      <c r="F107" s="1">
        <v>0.26048090839066323</v>
      </c>
      <c r="G107" s="1">
        <v>0.85667526742557865</v>
      </c>
      <c r="H107" s="1">
        <v>0.53725173950930105</v>
      </c>
      <c r="I107" s="1">
        <v>1.6353005486360914</v>
      </c>
      <c r="J107" s="1">
        <v>0.86655849217251357</v>
      </c>
      <c r="K107" s="1">
        <v>1.8853402821409544</v>
      </c>
      <c r="L107" s="1">
        <v>0.37618687698877873</v>
      </c>
      <c r="M107" s="1">
        <v>0.11837900480478347</v>
      </c>
      <c r="N107" s="16">
        <v>7.1522758650196465</v>
      </c>
      <c r="O107" s="16">
        <v>4.0116401660678527</v>
      </c>
      <c r="P107" s="1">
        <v>11.163916031087499</v>
      </c>
      <c r="Q107" s="1">
        <v>6.6946729576997266E-2</v>
      </c>
      <c r="R107" s="1">
        <v>3.808361096823333</v>
      </c>
      <c r="S107" s="1"/>
    </row>
    <row r="108" spans="1:19" x14ac:dyDescent="0.15">
      <c r="A108">
        <v>81</v>
      </c>
      <c r="B108" s="1">
        <v>2.8460304696163532E-2</v>
      </c>
      <c r="C108" s="1">
        <v>1.9591290943412481E-2</v>
      </c>
      <c r="D108" s="1">
        <v>8.6555110289518955E-2</v>
      </c>
      <c r="E108" s="1">
        <v>7.6718643096565675E-2</v>
      </c>
      <c r="F108" s="1">
        <v>0.31479770110394545</v>
      </c>
      <c r="G108" s="1">
        <v>0.23443281755159692</v>
      </c>
      <c r="H108" s="1">
        <v>0.75387423533450915</v>
      </c>
      <c r="I108" s="1">
        <v>0.4620364959779989</v>
      </c>
      <c r="J108" s="1">
        <v>1.2755344279361513</v>
      </c>
      <c r="K108" s="1">
        <v>0.53726626514695841</v>
      </c>
      <c r="L108" s="1">
        <v>0.56560208464228634</v>
      </c>
      <c r="M108" s="1">
        <v>3.7618687698877877E-2</v>
      </c>
      <c r="N108" s="16">
        <v>4.5143519534361927</v>
      </c>
      <c r="O108" s="16">
        <v>2.6576023918076834</v>
      </c>
      <c r="P108" s="1">
        <v>7.1719543452438757</v>
      </c>
      <c r="Q108" s="1">
        <v>2.8460304696163532E-2</v>
      </c>
      <c r="R108" s="1">
        <v>2.55224745274265</v>
      </c>
      <c r="S108" s="1"/>
    </row>
    <row r="109" spans="1:19" x14ac:dyDescent="0.15">
      <c r="A109">
        <v>82</v>
      </c>
      <c r="B109" s="1">
        <v>1.0727984469034172E-2</v>
      </c>
      <c r="C109" s="1">
        <v>1.7645388911621387E-2</v>
      </c>
      <c r="D109" s="1">
        <v>1.7044423120768856E-2</v>
      </c>
      <c r="E109" s="1">
        <v>7.6168497054776671E-2</v>
      </c>
      <c r="F109" s="1">
        <v>6.8279592355943441E-2</v>
      </c>
      <c r="G109" s="1">
        <v>0.28331793099355096</v>
      </c>
      <c r="H109" s="1">
        <v>0.20630087944540529</v>
      </c>
      <c r="I109" s="1">
        <v>0.64833184238767783</v>
      </c>
      <c r="J109" s="1">
        <v>0.3603884668628391</v>
      </c>
      <c r="K109" s="1">
        <v>0.79083134532041388</v>
      </c>
      <c r="L109" s="1">
        <v>0.16117987954408752</v>
      </c>
      <c r="M109" s="1">
        <v>5.6560208464228635E-2</v>
      </c>
      <c r="N109" s="16">
        <v>2.8004446728940096</v>
      </c>
      <c r="O109" s="16">
        <v>1.6027713759930096</v>
      </c>
      <c r="P109" s="1">
        <v>4.4032160488870193</v>
      </c>
      <c r="Q109" s="1">
        <v>1.0727984469034172E-2</v>
      </c>
      <c r="R109" s="1">
        <v>1.554548638400727</v>
      </c>
      <c r="S109" s="1"/>
    </row>
    <row r="110" spans="1:19" x14ac:dyDescent="0.15">
      <c r="A110">
        <v>83</v>
      </c>
      <c r="B110" s="1">
        <v>4.0681459887767692E-3</v>
      </c>
      <c r="C110" s="1">
        <v>3.1394373750181599E-3</v>
      </c>
      <c r="D110" s="1">
        <v>1.5351488353110608E-2</v>
      </c>
      <c r="E110" s="1">
        <v>1.4999092346276593E-2</v>
      </c>
      <c r="F110" s="1">
        <v>6.7789962378751234E-2</v>
      </c>
      <c r="G110" s="1">
        <v>6.1451633120349097E-2</v>
      </c>
      <c r="H110" s="1">
        <v>0.24931977927432483</v>
      </c>
      <c r="I110" s="1">
        <v>0.17741875632304854</v>
      </c>
      <c r="J110" s="1">
        <v>0.50569883706238872</v>
      </c>
      <c r="K110" s="1">
        <v>0.22344084945496023</v>
      </c>
      <c r="L110" s="1">
        <v>0.23724940359612412</v>
      </c>
      <c r="M110" s="1">
        <v>1.6117987954408754E-2</v>
      </c>
      <c r="N110" s="16">
        <v>1.7041646755035622</v>
      </c>
      <c r="O110" s="16">
        <v>0.99667990941556239</v>
      </c>
      <c r="P110" s="1">
        <v>2.7008445849191247</v>
      </c>
      <c r="Q110" s="1">
        <v>4.0681459887767692E-3</v>
      </c>
      <c r="R110" s="1">
        <v>0.97270520994203691</v>
      </c>
      <c r="S110" s="1"/>
    </row>
    <row r="111" spans="1:19" x14ac:dyDescent="0.15">
      <c r="A111">
        <v>84</v>
      </c>
      <c r="B111" s="1">
        <v>1.3682370467611108E-3</v>
      </c>
      <c r="C111" s="1">
        <v>2.5222505130415968E-3</v>
      </c>
      <c r="D111" s="1">
        <v>2.7313105162657982E-3</v>
      </c>
      <c r="E111" s="1">
        <v>1.3509309750737337E-2</v>
      </c>
      <c r="F111" s="1">
        <v>1.3349192188186164E-2</v>
      </c>
      <c r="G111" s="1">
        <v>6.1010966140876123E-2</v>
      </c>
      <c r="H111" s="1">
        <v>5.4077437145907209E-2</v>
      </c>
      <c r="I111" s="1">
        <v>0.21441501017591935</v>
      </c>
      <c r="J111" s="1">
        <v>0.13838662993197787</v>
      </c>
      <c r="K111" s="1">
        <v>0.313533278978681</v>
      </c>
      <c r="L111" s="1">
        <v>6.7032254836488087E-2</v>
      </c>
      <c r="M111" s="1">
        <v>2.3724940359612413E-2</v>
      </c>
      <c r="N111" s="16">
        <v>1.0067269995205732</v>
      </c>
      <c r="O111" s="16">
        <v>0.5706866107537254</v>
      </c>
      <c r="P111" s="1">
        <v>1.5774136102742986</v>
      </c>
      <c r="Q111" s="1">
        <v>1.3682370467611108E-3</v>
      </c>
      <c r="R111" s="1">
        <v>0.55983217955914411</v>
      </c>
      <c r="S111" s="1"/>
    </row>
    <row r="112" spans="1:19" x14ac:dyDescent="0.15">
      <c r="A112">
        <v>85</v>
      </c>
      <c r="B112" s="1">
        <v>4.4871665097856163E-4</v>
      </c>
      <c r="C112" s="1">
        <v>4.0040088936417148E-4</v>
      </c>
      <c r="D112" s="1">
        <v>2.194357946346189E-3</v>
      </c>
      <c r="E112" s="1">
        <v>2.4035532543139025E-3</v>
      </c>
      <c r="F112" s="1">
        <v>1.2023285678156231E-2</v>
      </c>
      <c r="G112" s="1">
        <v>1.2014272969367547E-2</v>
      </c>
      <c r="H112" s="1">
        <v>5.3689650203970984E-2</v>
      </c>
      <c r="I112" s="1">
        <v>4.6506595945480192E-2</v>
      </c>
      <c r="J112" s="1">
        <v>0.1672437079372171</v>
      </c>
      <c r="K112" s="1">
        <v>8.5799710557826273E-2</v>
      </c>
      <c r="L112" s="1">
        <v>9.4059983693604299E-2</v>
      </c>
      <c r="M112" s="1">
        <v>6.7032254836488087E-3</v>
      </c>
      <c r="N112" s="16">
        <v>0.57318826355786379</v>
      </c>
      <c r="O112" s="16">
        <v>0.33292127067756883</v>
      </c>
      <c r="P112" s="1">
        <v>0.90610953423543261</v>
      </c>
      <c r="Q112" s="1">
        <v>4.4871665097856163E-4</v>
      </c>
      <c r="R112" s="1">
        <v>0.32754607920782014</v>
      </c>
      <c r="S112" s="1"/>
    </row>
    <row r="113" spans="1:19" x14ac:dyDescent="0.15">
      <c r="A113">
        <v>86</v>
      </c>
      <c r="B113" s="1">
        <v>1.2422672896450867E-4</v>
      </c>
      <c r="C113" s="1">
        <v>2.7820432360670816E-4</v>
      </c>
      <c r="D113" s="1">
        <v>3.4834877374682915E-4</v>
      </c>
      <c r="E113" s="1">
        <v>1.9310349927846465E-3</v>
      </c>
      <c r="F113" s="1">
        <v>2.1391623963393737E-3</v>
      </c>
      <c r="G113" s="1">
        <v>1.0820957110340607E-2</v>
      </c>
      <c r="H113" s="1">
        <v>1.0572560213043444E-2</v>
      </c>
      <c r="I113" s="1">
        <v>4.6173099175415053E-2</v>
      </c>
      <c r="J113" s="1">
        <v>3.627514483747455E-2</v>
      </c>
      <c r="K113" s="1">
        <v>0.1036910989210746</v>
      </c>
      <c r="L113" s="1">
        <v>2.5739913167347882E-2</v>
      </c>
      <c r="M113" s="1">
        <v>9.4059983693604299E-3</v>
      </c>
      <c r="N113" s="16">
        <v>0.30948577351212114</v>
      </c>
      <c r="O113" s="16">
        <v>0.17412591442711761</v>
      </c>
      <c r="P113" s="1">
        <v>0.48361168793923875</v>
      </c>
      <c r="Q113" s="1">
        <v>1.2422672896450867E-4</v>
      </c>
      <c r="R113" s="1">
        <v>0.17170940300373339</v>
      </c>
      <c r="S113" s="1"/>
    </row>
    <row r="114" spans="1:19" x14ac:dyDescent="0.15">
      <c r="A114">
        <v>87</v>
      </c>
      <c r="B114" s="1">
        <v>3.2136384288588268E-5</v>
      </c>
      <c r="C114" s="1">
        <v>3.6353709964173818E-5</v>
      </c>
      <c r="D114" s="1">
        <v>2.4203776153783611E-4</v>
      </c>
      <c r="E114" s="1">
        <v>3.0654692089720961E-4</v>
      </c>
      <c r="F114" s="1">
        <v>1.7186211435783355E-3</v>
      </c>
      <c r="G114" s="1">
        <v>1.9252461567054362E-3</v>
      </c>
      <c r="H114" s="1">
        <v>9.5224422570997329E-3</v>
      </c>
      <c r="I114" s="1">
        <v>9.0924017832173624E-3</v>
      </c>
      <c r="J114" s="1">
        <v>3.6015017356823741E-2</v>
      </c>
      <c r="K114" s="1">
        <v>2.2490589799234219E-2</v>
      </c>
      <c r="L114" s="1">
        <v>3.1107329676322376E-2</v>
      </c>
      <c r="M114" s="1">
        <v>2.5739913167347884E-3</v>
      </c>
      <c r="N114" s="16">
        <v>0.15647471822270625</v>
      </c>
      <c r="O114" s="16">
        <v>9.1057167171080977E-2</v>
      </c>
      <c r="P114" s="1">
        <v>0.24753188539378723</v>
      </c>
      <c r="Q114" s="1">
        <v>3.2136384288588268E-5</v>
      </c>
      <c r="R114" s="1">
        <v>8.9906810360834477E-2</v>
      </c>
      <c r="S114" s="1"/>
    </row>
    <row r="115" spans="1:19" x14ac:dyDescent="0.15">
      <c r="A115">
        <v>88</v>
      </c>
      <c r="B115" s="1">
        <v>6.7560371577391965E-6</v>
      </c>
      <c r="C115" s="1">
        <v>1.9924558258924722E-5</v>
      </c>
      <c r="D115" s="1">
        <v>3.1627727668831224E-5</v>
      </c>
      <c r="E115" s="1">
        <v>2.1299323015329578E-4</v>
      </c>
      <c r="F115" s="1">
        <v>2.7282675959851657E-4</v>
      </c>
      <c r="G115" s="1">
        <v>1.5467590292205019E-3</v>
      </c>
      <c r="H115" s="1">
        <v>1.6942166179007836E-3</v>
      </c>
      <c r="I115" s="1">
        <v>8.1893003411057704E-3</v>
      </c>
      <c r="J115" s="1">
        <v>7.0920733909095434E-3</v>
      </c>
      <c r="K115" s="1">
        <v>2.2329310761230719E-2</v>
      </c>
      <c r="L115" s="1">
        <v>6.7471769397702656E-3</v>
      </c>
      <c r="M115" s="1">
        <v>3.110732967632238E-3</v>
      </c>
      <c r="N115" s="16">
        <v>7.3545258457886731E-2</v>
      </c>
      <c r="O115" s="16">
        <v>4.152421184567482E-2</v>
      </c>
      <c r="P115" s="1">
        <v>0.11506947030356154</v>
      </c>
      <c r="Q115" s="1">
        <v>6.7560371577391965E-6</v>
      </c>
      <c r="R115" s="1">
        <v>4.1039222352595203E-2</v>
      </c>
      <c r="S115" s="1"/>
    </row>
    <row r="116" spans="1:19" x14ac:dyDescent="0.15">
      <c r="A116">
        <v>89</v>
      </c>
      <c r="B116" s="1">
        <v>1.3270522376498941E-6</v>
      </c>
      <c r="C116" s="1">
        <v>1.9770867138407993E-6</v>
      </c>
      <c r="D116" s="1">
        <v>1.7334365685264507E-5</v>
      </c>
      <c r="E116" s="1">
        <v>2.7832400348571474E-5</v>
      </c>
      <c r="F116" s="1">
        <v>1.8956397483643322E-4</v>
      </c>
      <c r="G116" s="1">
        <v>2.4554408363866489E-4</v>
      </c>
      <c r="H116" s="1">
        <v>1.3611479457140416E-3</v>
      </c>
      <c r="I116" s="1">
        <v>1.4570262913946742E-3</v>
      </c>
      <c r="J116" s="1">
        <v>6.3876542660625014E-3</v>
      </c>
      <c r="K116" s="1">
        <v>4.3970855023639163E-3</v>
      </c>
      <c r="L116" s="1">
        <v>6.6987932283692157E-3</v>
      </c>
      <c r="M116" s="1">
        <v>6.7471769397702659E-4</v>
      </c>
      <c r="N116" s="16">
        <v>3.2554794512990447E-2</v>
      </c>
      <c r="O116" s="16">
        <v>1.8700230899854339E-2</v>
      </c>
      <c r="P116" s="1">
        <v>5.1255025412844782E-2</v>
      </c>
      <c r="Q116" s="1">
        <v>1.3270522376498941E-6</v>
      </c>
      <c r="R116" s="1">
        <v>1.8490896308199001E-2</v>
      </c>
      <c r="S116" s="1"/>
    </row>
    <row r="117" spans="1:19" x14ac:dyDescent="0.15">
      <c r="A117">
        <v>90</v>
      </c>
      <c r="B117" s="1">
        <v>2.282195731900086E-7</v>
      </c>
      <c r="C117" s="1">
        <v>8.2277238734293429E-7</v>
      </c>
      <c r="D117" s="1">
        <v>1.7200654410414955E-6</v>
      </c>
      <c r="E117" s="1">
        <v>1.5254241803032763E-5</v>
      </c>
      <c r="F117" s="1">
        <v>2.4770836310228611E-5</v>
      </c>
      <c r="G117" s="1">
        <v>1.706075773527899E-4</v>
      </c>
      <c r="H117" s="1">
        <v>2.1607879360202511E-4</v>
      </c>
      <c r="I117" s="1">
        <v>1.1705872333140758E-3</v>
      </c>
      <c r="J117" s="1">
        <v>1.1364805072878459E-3</v>
      </c>
      <c r="K117" s="1">
        <v>3.9603456449587501E-3</v>
      </c>
      <c r="L117" s="1">
        <v>1.3191256507091749E-3</v>
      </c>
      <c r="M117" s="1">
        <v>6.6987932283692165E-4</v>
      </c>
      <c r="N117" s="16">
        <v>1.3721838211206448E-2</v>
      </c>
      <c r="O117" s="16">
        <v>7.7383938997085426E-3</v>
      </c>
      <c r="P117" s="1">
        <v>2.1460232110914992E-2</v>
      </c>
      <c r="Q117" s="1">
        <v>2.2821957319000858E-7</v>
      </c>
      <c r="R117" s="1">
        <v>7.6552662967378409E-3</v>
      </c>
      <c r="S117" s="1"/>
    </row>
    <row r="118" spans="1:19" x14ac:dyDescent="0.15">
      <c r="A118">
        <v>91</v>
      </c>
      <c r="B118" s="1">
        <v>3.6999337415471875E-8</v>
      </c>
      <c r="C118" s="1">
        <v>6.67861758983241E-8</v>
      </c>
      <c r="D118" s="1">
        <v>7.1581197698835279E-7</v>
      </c>
      <c r="E118" s="1">
        <v>1.5136575881165156E-6</v>
      </c>
      <c r="F118" s="1">
        <v>1.3576275204699156E-5</v>
      </c>
      <c r="G118" s="1">
        <v>2.2293752679205758E-5</v>
      </c>
      <c r="H118" s="1">
        <v>1.5013466807045514E-4</v>
      </c>
      <c r="I118" s="1">
        <v>1.858277624977416E-4</v>
      </c>
      <c r="J118" s="1">
        <v>9.1305804198497909E-4</v>
      </c>
      <c r="K118" s="1">
        <v>7.0461791451846469E-4</v>
      </c>
      <c r="L118" s="1">
        <v>1.188103693487625E-3</v>
      </c>
      <c r="M118" s="1">
        <v>1.319125650709175E-4</v>
      </c>
      <c r="N118" s="16">
        <v>5.5243995228082968E-3</v>
      </c>
      <c r="O118" s="16">
        <v>3.1615383421055385E-3</v>
      </c>
      <c r="P118" s="1">
        <v>8.6859378649138362E-3</v>
      </c>
      <c r="Q118" s="1">
        <v>3.6999337415471875E-8</v>
      </c>
      <c r="R118" s="1">
        <v>3.1282352002246772E-3</v>
      </c>
      <c r="S118" s="1"/>
    </row>
    <row r="119" spans="1:19" x14ac:dyDescent="0.15">
      <c r="A119">
        <v>92</v>
      </c>
      <c r="B119" s="1">
        <v>5.2758622746475184E-9</v>
      </c>
      <c r="C119" s="1">
        <v>2.2939589197592561E-8</v>
      </c>
      <c r="D119" s="1">
        <v>5.8103973031542008E-8</v>
      </c>
      <c r="E119" s="1">
        <v>6.2991453974975037E-7</v>
      </c>
      <c r="F119" s="1">
        <v>1.3471552534236992E-6</v>
      </c>
      <c r="G119" s="1">
        <v>1.2218647684229241E-5</v>
      </c>
      <c r="H119" s="1">
        <v>1.9618502357701066E-5</v>
      </c>
      <c r="I119" s="1">
        <v>1.291158145405914E-4</v>
      </c>
      <c r="J119" s="1">
        <v>1.4494565474823848E-4</v>
      </c>
      <c r="K119" s="1">
        <v>5.6609598603068708E-4</v>
      </c>
      <c r="L119" s="1">
        <v>2.1138537435553938E-4</v>
      </c>
      <c r="M119" s="1">
        <v>1.1881036934876251E-4</v>
      </c>
      <c r="N119" s="16">
        <v>2.1156101600466786E-3</v>
      </c>
      <c r="O119" s="16">
        <v>1.196253044408103E-3</v>
      </c>
      <c r="P119" s="1">
        <v>3.3118632044547816E-3</v>
      </c>
      <c r="Q119" s="1">
        <v>5.2758622746475184E-9</v>
      </c>
      <c r="R119" s="1">
        <v>1.1839436068129881E-3</v>
      </c>
      <c r="S119" s="1"/>
    </row>
    <row r="120" spans="1:19" x14ac:dyDescent="0.15">
      <c r="A120">
        <v>93</v>
      </c>
      <c r="B120" s="1">
        <v>6.8688473974403158E-10</v>
      </c>
      <c r="C120" s="1">
        <v>1.5439283360528514E-9</v>
      </c>
      <c r="D120" s="1">
        <v>1.9957442601905523E-8</v>
      </c>
      <c r="E120" s="1">
        <v>5.1131496267756997E-8</v>
      </c>
      <c r="F120" s="1">
        <v>5.6062394037727779E-7</v>
      </c>
      <c r="G120" s="1">
        <v>1.2124397280813293E-6</v>
      </c>
      <c r="H120" s="1">
        <v>1.0752409962121733E-5</v>
      </c>
      <c r="I120" s="1">
        <v>1.687191202762292E-5</v>
      </c>
      <c r="J120" s="1">
        <v>1.0071033534166132E-4</v>
      </c>
      <c r="K120" s="1">
        <v>8.9866305943907845E-5</v>
      </c>
      <c r="L120" s="1">
        <v>1.6982879580920609E-4</v>
      </c>
      <c r="M120" s="1">
        <v>2.1138537435553939E-5</v>
      </c>
      <c r="N120" s="16">
        <v>7.6765141816260345E-4</v>
      </c>
      <c r="O120" s="16">
        <v>4.3660300700556261E-4</v>
      </c>
      <c r="P120" s="1">
        <v>1.204254425168166E-3</v>
      </c>
      <c r="Q120" s="1">
        <v>6.8688473974403158E-10</v>
      </c>
      <c r="R120" s="1">
        <v>4.3214372495285958E-4</v>
      </c>
      <c r="S120" s="1"/>
    </row>
    <row r="121" spans="1:19" x14ac:dyDescent="0.15">
      <c r="A121">
        <v>94</v>
      </c>
      <c r="B121" s="1">
        <v>7.8377905803008887E-11</v>
      </c>
      <c r="C121" s="1">
        <v>4.258685386412996E-10</v>
      </c>
      <c r="D121" s="1">
        <v>1.3432176523659813E-9</v>
      </c>
      <c r="E121" s="1">
        <v>1.7562549489676856E-8</v>
      </c>
      <c r="F121" s="1">
        <v>4.5507031678303738E-8</v>
      </c>
      <c r="G121" s="1">
        <v>5.0456154633955016E-7</v>
      </c>
      <c r="H121" s="1">
        <v>1.0669469607115695E-6</v>
      </c>
      <c r="I121" s="1">
        <v>9.2470725674246897E-6</v>
      </c>
      <c r="J121" s="1">
        <v>1.3160091381545874E-5</v>
      </c>
      <c r="K121" s="1">
        <v>6.2440407911830011E-5</v>
      </c>
      <c r="L121" s="1">
        <v>2.6959891783172356E-5</v>
      </c>
      <c r="M121" s="1">
        <v>1.6982879580920612E-5</v>
      </c>
      <c r="N121" s="16">
        <v>2.6218587358183557E-4</v>
      </c>
      <c r="O121" s="16">
        <v>1.4882888473654815E-4</v>
      </c>
      <c r="P121" s="1">
        <v>4.1101475831838369E-4</v>
      </c>
      <c r="Q121" s="1">
        <v>7.8377905803008887E-11</v>
      </c>
      <c r="R121" s="1">
        <v>1.4732729735520287E-4</v>
      </c>
      <c r="S121" s="1"/>
    </row>
    <row r="122" spans="1:19" x14ac:dyDescent="0.15">
      <c r="A122">
        <v>95</v>
      </c>
      <c r="B122" s="1">
        <v>7.7033970574746669E-12</v>
      </c>
      <c r="C122" s="1">
        <v>2.2936510354192498E-11</v>
      </c>
      <c r="D122" s="1">
        <v>3.7050562861793047E-10</v>
      </c>
      <c r="E122" s="1">
        <v>1.1820315340820634E-9</v>
      </c>
      <c r="F122" s="1">
        <v>1.5630669045812402E-8</v>
      </c>
      <c r="G122" s="1">
        <v>4.0956328510473364E-8</v>
      </c>
      <c r="H122" s="1">
        <v>4.440141607788042E-7</v>
      </c>
      <c r="I122" s="1">
        <v>9.1757438621194962E-7</v>
      </c>
      <c r="J122" s="1">
        <v>7.2127166025912598E-6</v>
      </c>
      <c r="K122" s="1">
        <v>8.159256656558444E-6</v>
      </c>
      <c r="L122" s="1">
        <v>1.8732122373549001E-5</v>
      </c>
      <c r="M122" s="1">
        <v>2.6959891783172363E-6</v>
      </c>
      <c r="N122" s="16">
        <v>8.333287453671981E-5</v>
      </c>
      <c r="O122" s="16">
        <v>4.7093901943886715E-5</v>
      </c>
      <c r="P122" s="1">
        <v>1.3042677648060654E-4</v>
      </c>
      <c r="Q122" s="1">
        <v>7.7033970574746669E-12</v>
      </c>
      <c r="R122" s="1">
        <v>4.6619561569004618E-5</v>
      </c>
      <c r="S122" s="1"/>
    </row>
    <row r="123" spans="1:19" x14ac:dyDescent="0.15">
      <c r="A123">
        <v>96</v>
      </c>
      <c r="B123" s="1">
        <v>6.4695717503426094E-13</v>
      </c>
      <c r="C123" s="1">
        <v>4.776106175634293E-12</v>
      </c>
      <c r="D123" s="1">
        <v>1.9954764008147474E-11</v>
      </c>
      <c r="E123" s="1">
        <v>3.2604495318377885E-10</v>
      </c>
      <c r="F123" s="1">
        <v>1.0520080653330361E-9</v>
      </c>
      <c r="G123" s="1">
        <v>1.4067602141231163E-8</v>
      </c>
      <c r="H123" s="1">
        <v>3.6041569089216575E-8</v>
      </c>
      <c r="I123" s="1">
        <v>3.8185217826977158E-7</v>
      </c>
      <c r="J123" s="1">
        <v>7.1570802124532061E-7</v>
      </c>
      <c r="K123" s="1">
        <v>4.4718842936065815E-6</v>
      </c>
      <c r="L123" s="1">
        <v>2.4477769969675332E-6</v>
      </c>
      <c r="M123" s="1">
        <v>1.8732122373549002E-6</v>
      </c>
      <c r="N123" s="16">
        <v>2.4278076694081865E-5</v>
      </c>
      <c r="O123" s="16">
        <v>1.3941767485508402E-5</v>
      </c>
      <c r="P123" s="1">
        <v>3.8219844179590267E-5</v>
      </c>
      <c r="Q123" s="1">
        <v>6.4695717503426094E-13</v>
      </c>
      <c r="R123" s="1">
        <v>1.3801995724843885E-5</v>
      </c>
      <c r="S123" s="1"/>
    </row>
    <row r="124" spans="1:19" x14ac:dyDescent="0.15">
      <c r="A124">
        <v>97</v>
      </c>
      <c r="B124" s="1">
        <v>4.2235028294347118E-14</v>
      </c>
      <c r="C124" s="1">
        <v>1.8932554770202624E-13</v>
      </c>
      <c r="D124" s="1">
        <v>4.1552123728018335E-12</v>
      </c>
      <c r="E124" s="1">
        <v>1.7560192327169781E-11</v>
      </c>
      <c r="F124" s="1">
        <v>2.9018000833356315E-10</v>
      </c>
      <c r="G124" s="1">
        <v>9.4680725879973255E-10</v>
      </c>
      <c r="H124" s="1">
        <v>1.237948988428343E-8</v>
      </c>
      <c r="I124" s="1">
        <v>3.0995749416726245E-8</v>
      </c>
      <c r="J124" s="1">
        <v>2.9784469905042188E-7</v>
      </c>
      <c r="K124" s="1">
        <v>4.4373897317209879E-7</v>
      </c>
      <c r="L124" s="1">
        <v>1.3415652880819744E-6</v>
      </c>
      <c r="M124" s="1">
        <v>2.4477769969675328E-7</v>
      </c>
      <c r="N124" s="16">
        <v>6.3825147219379609E-6</v>
      </c>
      <c r="O124" s="16">
        <v>3.559431649817497E-6</v>
      </c>
      <c r="P124" s="1">
        <v>9.9419463717554588E-6</v>
      </c>
      <c r="Q124" s="1">
        <v>4.2235028294347118E-14</v>
      </c>
      <c r="R124" s="1">
        <v>3.5237501638565174E-6</v>
      </c>
      <c r="S124" s="1"/>
    </row>
    <row r="125" spans="1:19" x14ac:dyDescent="0.15">
      <c r="A125">
        <v>98</v>
      </c>
      <c r="B125" s="1">
        <v>2.3660004632057971E-15</v>
      </c>
      <c r="C125" s="1">
        <v>2.6185717542495234E-14</v>
      </c>
      <c r="D125" s="1">
        <v>1.6471322650076277E-13</v>
      </c>
      <c r="E125" s="1">
        <v>3.6565868880656127E-12</v>
      </c>
      <c r="F125" s="1">
        <v>1.5628571171181109E-11</v>
      </c>
      <c r="G125" s="1">
        <v>2.6116200750020685E-10</v>
      </c>
      <c r="H125" s="1">
        <v>8.3319038774376435E-10</v>
      </c>
      <c r="I125" s="1">
        <v>1.0646361300483749E-8</v>
      </c>
      <c r="J125" s="1">
        <v>2.4176684545046469E-8</v>
      </c>
      <c r="K125" s="1">
        <v>1.8466371341126153E-7</v>
      </c>
      <c r="L125" s="1">
        <v>1.3312169195162961E-7</v>
      </c>
      <c r="M125" s="1">
        <v>1.3415652880819748E-7</v>
      </c>
      <c r="N125" s="16">
        <v>1.5002605594899847E-6</v>
      </c>
      <c r="O125" s="16">
        <v>8.7230027641068312E-7</v>
      </c>
      <c r="P125" s="1">
        <v>2.3725608359006678E-6</v>
      </c>
      <c r="Q125" s="1">
        <v>2.3660004632057971E-15</v>
      </c>
      <c r="R125" s="1">
        <v>8.6357090218507859E-7</v>
      </c>
      <c r="S125" s="1"/>
    </row>
    <row r="126" spans="1:19" x14ac:dyDescent="0.15">
      <c r="A126">
        <v>99</v>
      </c>
      <c r="B126" s="1">
        <v>9.6347879374033105E-17</v>
      </c>
      <c r="C126" s="1">
        <v>6.9238637555254348E-16</v>
      </c>
      <c r="D126" s="1">
        <v>2.2781574261970867E-14</v>
      </c>
      <c r="E126" s="1">
        <v>1.4494763932067113E-13</v>
      </c>
      <c r="F126" s="1">
        <v>3.2543623303783962E-12</v>
      </c>
      <c r="G126" s="1">
        <v>1.4065714054062991E-11</v>
      </c>
      <c r="H126" s="1">
        <v>2.29822566600182E-10</v>
      </c>
      <c r="I126" s="1">
        <v>7.1654373345963779E-10</v>
      </c>
      <c r="J126" s="1">
        <v>8.3041618143773236E-9</v>
      </c>
      <c r="K126" s="1">
        <v>1.4989544417928813E-8</v>
      </c>
      <c r="L126" s="1">
        <v>5.5399114023378462E-8</v>
      </c>
      <c r="M126" s="1">
        <v>1.331216919516296E-8</v>
      </c>
      <c r="N126" s="16">
        <v>3.1378060492866889E-7</v>
      </c>
      <c r="O126" s="16">
        <v>1.7409820600254555E-7</v>
      </c>
      <c r="P126" s="1">
        <v>4.8787881093121449E-7</v>
      </c>
      <c r="Q126" s="1">
        <v>9.6347879374033105E-17</v>
      </c>
      <c r="R126" s="1">
        <v>1.7235570593959785E-7</v>
      </c>
      <c r="S126" s="1"/>
    </row>
    <row r="127" spans="1:19" x14ac:dyDescent="0.15">
      <c r="A127">
        <v>100</v>
      </c>
      <c r="B127" s="1">
        <v>3.4568152198309752E-18</v>
      </c>
      <c r="C127" s="1">
        <v>5.9735685211900511E-17</v>
      </c>
      <c r="D127" s="1">
        <v>6.0237614673071275E-16</v>
      </c>
      <c r="E127" s="1">
        <v>2.0047785350534377E-14</v>
      </c>
      <c r="F127" s="1">
        <v>1.2900339899539732E-13</v>
      </c>
      <c r="G127" s="1">
        <v>2.9289260973405581E-12</v>
      </c>
      <c r="H127" s="1">
        <v>1.2377828367575438E-11</v>
      </c>
      <c r="I127" s="1">
        <v>1.9764740727615646E-10</v>
      </c>
      <c r="J127" s="1">
        <v>5.5890411209851762E-10</v>
      </c>
      <c r="K127" s="1">
        <v>5.1485803249139403E-9</v>
      </c>
      <c r="L127" s="1">
        <v>4.4968633253786439E-9</v>
      </c>
      <c r="M127" s="1">
        <v>5.5399114023378467E-9</v>
      </c>
      <c r="N127" s="16">
        <v>5.9210438006517997E-8</v>
      </c>
      <c r="O127" s="16">
        <v>3.3758406342178475E-8</v>
      </c>
      <c r="P127" s="1">
        <v>9.2968844348696472E-8</v>
      </c>
      <c r="Q127" s="1">
        <v>3.4568152198309756E-18</v>
      </c>
      <c r="R127" s="1">
        <v>3.3420752291361598E-8</v>
      </c>
      <c r="S127" s="1"/>
    </row>
    <row r="128" spans="1:19" x14ac:dyDescent="0.15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6"/>
      <c r="O128" s="16"/>
      <c r="P128" s="1"/>
      <c r="Q128" s="1"/>
      <c r="R128" s="1"/>
    </row>
    <row r="129" spans="2:18" x14ac:dyDescent="0.15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6"/>
      <c r="O129" s="16"/>
      <c r="P129" s="1"/>
      <c r="Q129" s="1"/>
      <c r="R129" s="1"/>
    </row>
    <row r="130" spans="2:18" x14ac:dyDescent="0.15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6"/>
      <c r="O130" s="16"/>
      <c r="P130" s="1"/>
      <c r="Q130" s="1"/>
      <c r="R130" s="1"/>
    </row>
    <row r="131" spans="2:18" x14ac:dyDescent="0.1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6"/>
      <c r="O131" s="16"/>
      <c r="P131" s="1"/>
      <c r="Q131" s="1"/>
      <c r="R131" s="1"/>
    </row>
    <row r="132" spans="2:18" x14ac:dyDescent="0.1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6"/>
      <c r="O132" s="16"/>
      <c r="P132" s="1"/>
      <c r="Q132" s="1"/>
      <c r="R132" s="1"/>
    </row>
    <row r="133" spans="2:18" x14ac:dyDescent="0.1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6"/>
      <c r="O133" s="16"/>
      <c r="P133" s="1"/>
      <c r="Q133" s="1"/>
      <c r="R133" s="1"/>
    </row>
    <row r="134" spans="2:18" x14ac:dyDescent="0.1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6"/>
      <c r="O134" s="16"/>
      <c r="P134" s="1"/>
      <c r="Q134" s="1"/>
      <c r="R134" s="1"/>
    </row>
    <row r="135" spans="2:18" x14ac:dyDescent="0.15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6"/>
      <c r="O135" s="16"/>
      <c r="P135" s="1"/>
      <c r="Q135" s="1"/>
      <c r="R135" s="1"/>
    </row>
    <row r="136" spans="2:18" x14ac:dyDescent="0.15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6"/>
      <c r="O136" s="16"/>
      <c r="P136" s="1"/>
      <c r="Q136" s="1"/>
      <c r="R136" s="1"/>
    </row>
    <row r="137" spans="2:18" x14ac:dyDescent="0.1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6"/>
      <c r="O137" s="16"/>
      <c r="P137" s="1"/>
      <c r="Q137" s="1"/>
      <c r="R137" s="1"/>
    </row>
    <row r="138" spans="2:18" x14ac:dyDescent="0.15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6"/>
      <c r="O138" s="16"/>
      <c r="P138" s="1"/>
      <c r="Q138" s="1"/>
      <c r="R138" s="1"/>
    </row>
    <row r="139" spans="2:18" x14ac:dyDescent="0.15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6"/>
      <c r="O139" s="16"/>
      <c r="P139" s="1"/>
      <c r="Q139" s="1"/>
      <c r="R139" s="1"/>
    </row>
    <row r="140" spans="2:18" x14ac:dyDescent="0.15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6"/>
      <c r="O140" s="16"/>
      <c r="P140" s="1"/>
      <c r="Q140" s="1"/>
      <c r="R140" s="1"/>
    </row>
    <row r="141" spans="2:18" x14ac:dyDescent="0.15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6"/>
      <c r="O141" s="16"/>
      <c r="P141" s="1"/>
      <c r="Q141" s="1"/>
      <c r="R141" s="1"/>
    </row>
    <row r="142" spans="2:18" x14ac:dyDescent="0.15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6"/>
      <c r="O142" s="16"/>
      <c r="P142" s="1"/>
      <c r="Q142" s="1"/>
      <c r="R142" s="1"/>
    </row>
  </sheetData>
  <mergeCells count="4">
    <mergeCell ref="AJ1:AZ1"/>
    <mergeCell ref="U12:V12"/>
    <mergeCell ref="W12:X12"/>
    <mergeCell ref="Y12:Z12"/>
  </mergeCells>
  <conditionalFormatting sqref="N28:O127">
    <cfRule type="cellIs" dxfId="0" priority="1" operator="equal">
      <formula>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er" altText="Run Model">
                <anchor moveWithCells="1" sizeWithCells="1">
                  <from>
                    <xdr:col>6</xdr:col>
                    <xdr:colOff>63500</xdr:colOff>
                    <xdr:row>6</xdr:row>
                    <xdr:rowOff>101600</xdr:rowOff>
                  </from>
                  <to>
                    <xdr:col>7</xdr:col>
                    <xdr:colOff>431800</xdr:colOff>
                    <xdr:row>8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1:C21"/>
  <sheetViews>
    <sheetView workbookViewId="0">
      <selection activeCell="C16" sqref="C16:C21"/>
    </sheetView>
  </sheetViews>
  <sheetFormatPr baseColWidth="10" defaultColWidth="8.83203125" defaultRowHeight="13" x14ac:dyDescent="0.15"/>
  <sheetData>
    <row r="11" spans="1:3" x14ac:dyDescent="0.15">
      <c r="A11" s="6" t="s">
        <v>28</v>
      </c>
      <c r="B11">
        <v>3351</v>
      </c>
      <c r="C11">
        <v>5000</v>
      </c>
    </row>
    <row r="12" spans="1:3" x14ac:dyDescent="0.15">
      <c r="A12" s="6" t="s">
        <v>30</v>
      </c>
      <c r="B12">
        <v>1000</v>
      </c>
      <c r="C12">
        <v>1000</v>
      </c>
    </row>
    <row r="15" spans="1:3" x14ac:dyDescent="0.15">
      <c r="A15" s="6" t="s">
        <v>37</v>
      </c>
      <c r="B15" s="6" t="s">
        <v>38</v>
      </c>
    </row>
    <row r="16" spans="1:3" x14ac:dyDescent="0.15">
      <c r="A16">
        <v>1000</v>
      </c>
      <c r="B16">
        <f t="shared" ref="B16:C21" si="0">$A16*B$11/($A16+B$11)</f>
        <v>770.16777752240864</v>
      </c>
      <c r="C16">
        <f t="shared" si="0"/>
        <v>833.33333333333337</v>
      </c>
    </row>
    <row r="17" spans="1:3" x14ac:dyDescent="0.15">
      <c r="A17">
        <v>5000</v>
      </c>
      <c r="B17">
        <f t="shared" si="0"/>
        <v>2006.3465453239132</v>
      </c>
      <c r="C17">
        <f t="shared" si="0"/>
        <v>2500</v>
      </c>
    </row>
    <row r="18" spans="1:3" x14ac:dyDescent="0.15">
      <c r="A18">
        <v>10000</v>
      </c>
      <c r="B18">
        <f t="shared" si="0"/>
        <v>2509.9243502359373</v>
      </c>
      <c r="C18">
        <f t="shared" si="0"/>
        <v>3333.3333333333335</v>
      </c>
    </row>
    <row r="19" spans="1:3" x14ac:dyDescent="0.15">
      <c r="A19">
        <v>20000</v>
      </c>
      <c r="B19">
        <f t="shared" si="0"/>
        <v>2870.1126290094644</v>
      </c>
      <c r="C19">
        <f t="shared" si="0"/>
        <v>4000</v>
      </c>
    </row>
    <row r="20" spans="1:3" x14ac:dyDescent="0.15">
      <c r="A20">
        <v>40000</v>
      </c>
      <c r="B20">
        <f t="shared" si="0"/>
        <v>3091.9701967659339</v>
      </c>
      <c r="C20">
        <f t="shared" si="0"/>
        <v>4444.4444444444443</v>
      </c>
    </row>
    <row r="21" spans="1:3" x14ac:dyDescent="0.15">
      <c r="A21">
        <v>60000</v>
      </c>
      <c r="B21">
        <f t="shared" si="0"/>
        <v>3173.7462707770992</v>
      </c>
      <c r="C21">
        <f t="shared" si="0"/>
        <v>4615.3846153846152</v>
      </c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6:F28"/>
  <sheetViews>
    <sheetView workbookViewId="0">
      <selection activeCell="C30" sqref="C30"/>
    </sheetView>
  </sheetViews>
  <sheetFormatPr baseColWidth="10" defaultColWidth="8.83203125" defaultRowHeight="13" x14ac:dyDescent="0.15"/>
  <sheetData>
    <row r="6" spans="1:6" x14ac:dyDescent="0.15">
      <c r="E6" t="s">
        <v>30</v>
      </c>
      <c r="F6">
        <v>10000</v>
      </c>
    </row>
    <row r="8" spans="1:6" x14ac:dyDescent="0.15">
      <c r="B8">
        <v>-2.6559999999999999E-3</v>
      </c>
    </row>
    <row r="9" spans="1:6" x14ac:dyDescent="0.15">
      <c r="A9" t="s">
        <v>28</v>
      </c>
      <c r="B9" t="s">
        <v>29</v>
      </c>
      <c r="E9" t="s">
        <v>28</v>
      </c>
      <c r="F9" t="s">
        <v>21</v>
      </c>
    </row>
    <row r="10" spans="1:6" x14ac:dyDescent="0.15">
      <c r="A10">
        <v>1</v>
      </c>
      <c r="B10">
        <f>1-EXP($B$8*$A10)</f>
        <v>2.6524759526470598E-3</v>
      </c>
      <c r="E10">
        <v>1</v>
      </c>
      <c r="F10">
        <f>( ( 0.9*F$6*E10)/(F$6+E10))</f>
        <v>0.89991000899910012</v>
      </c>
    </row>
    <row r="11" spans="1:6" x14ac:dyDescent="0.15">
      <c r="A11">
        <v>10</v>
      </c>
      <c r="B11">
        <f>1-EXP($B$8*$A11)</f>
        <v>2.621038529420372E-2</v>
      </c>
      <c r="E11">
        <v>100</v>
      </c>
      <c r="F11">
        <f>( ( 0.9*F$6*E11)/(F$6+E11))</f>
        <v>89.10891089108911</v>
      </c>
    </row>
    <row r="12" spans="1:6" x14ac:dyDescent="0.15">
      <c r="A12">
        <v>100</v>
      </c>
      <c r="B12">
        <f>1-EXP($B$8*$A12)</f>
        <v>0.23325423552467406</v>
      </c>
      <c r="E12">
        <v>1000</v>
      </c>
      <c r="F12">
        <f>( ( 0.9*F$6*E12)/(F$6+E12))</f>
        <v>818.18181818181813</v>
      </c>
    </row>
    <row r="13" spans="1:6" x14ac:dyDescent="0.15">
      <c r="A13">
        <v>870</v>
      </c>
      <c r="B13">
        <f>1-EXP($B$8*$A13)</f>
        <v>0.9008101908191346</v>
      </c>
      <c r="E13">
        <v>50000</v>
      </c>
      <c r="F13">
        <f>( ( 0.9*F$6*E13)/(F$6+E13))</f>
        <v>7500</v>
      </c>
    </row>
    <row r="14" spans="1:6" x14ac:dyDescent="0.15">
      <c r="A14">
        <v>5000</v>
      </c>
      <c r="B14">
        <f>1-EXP($B$8*$A14)</f>
        <v>0.99999829167978382</v>
      </c>
    </row>
    <row r="17" spans="1:2" x14ac:dyDescent="0.15">
      <c r="B17">
        <v>1.5</v>
      </c>
    </row>
    <row r="18" spans="1:2" x14ac:dyDescent="0.15">
      <c r="B18">
        <v>1.5</v>
      </c>
    </row>
    <row r="19" spans="1:2" x14ac:dyDescent="0.15">
      <c r="B19">
        <v>6000</v>
      </c>
    </row>
    <row r="20" spans="1:2" x14ac:dyDescent="0.15">
      <c r="A20" t="s">
        <v>33</v>
      </c>
      <c r="B20" t="s">
        <v>34</v>
      </c>
    </row>
    <row r="21" spans="1:2" x14ac:dyDescent="0.15">
      <c r="A21">
        <v>1000</v>
      </c>
      <c r="B21">
        <f t="shared" ref="B21:B28" si="0">B$17 - (B$18*A21)/B$19</f>
        <v>1.25</v>
      </c>
    </row>
    <row r="22" spans="1:2" x14ac:dyDescent="0.15">
      <c r="A22">
        <v>2000</v>
      </c>
      <c r="B22">
        <f t="shared" si="0"/>
        <v>1</v>
      </c>
    </row>
    <row r="23" spans="1:2" x14ac:dyDescent="0.15">
      <c r="A23">
        <v>3000</v>
      </c>
      <c r="B23">
        <f t="shared" si="0"/>
        <v>0.75</v>
      </c>
    </row>
    <row r="24" spans="1:2" x14ac:dyDescent="0.15">
      <c r="A24">
        <v>4000</v>
      </c>
      <c r="B24">
        <f t="shared" si="0"/>
        <v>0.5</v>
      </c>
    </row>
    <row r="25" spans="1:2" x14ac:dyDescent="0.15">
      <c r="A25">
        <v>5000</v>
      </c>
      <c r="B25">
        <f t="shared" si="0"/>
        <v>0.25</v>
      </c>
    </row>
    <row r="26" spans="1:2" x14ac:dyDescent="0.15">
      <c r="A26">
        <v>6000</v>
      </c>
      <c r="B26">
        <f t="shared" si="0"/>
        <v>0</v>
      </c>
    </row>
    <row r="27" spans="1:2" x14ac:dyDescent="0.15">
      <c r="A27">
        <v>9000</v>
      </c>
      <c r="B27">
        <f t="shared" si="0"/>
        <v>-0.75</v>
      </c>
    </row>
    <row r="28" spans="1:2" x14ac:dyDescent="0.15">
      <c r="A28">
        <v>10000</v>
      </c>
      <c r="B28">
        <f t="shared" si="0"/>
        <v>-1</v>
      </c>
    </row>
  </sheetData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hunter_output</vt:lpstr>
      <vt:lpstr>Inputs</vt:lpstr>
      <vt:lpstr>Population</vt:lpstr>
      <vt:lpstr>Summary</vt:lpstr>
      <vt:lpstr>Time</vt:lpstr>
    </vt:vector>
  </TitlesOfParts>
  <Company>Iowa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D. Batchelor</dc:creator>
  <cp:lastModifiedBy>Microsoft Office User</cp:lastModifiedBy>
  <dcterms:created xsi:type="dcterms:W3CDTF">2002-01-29T15:16:44Z</dcterms:created>
  <dcterms:modified xsi:type="dcterms:W3CDTF">2020-10-09T23:23:03Z</dcterms:modified>
</cp:coreProperties>
</file>